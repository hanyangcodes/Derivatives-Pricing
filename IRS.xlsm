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a\Downloads\"/>
    </mc:Choice>
  </mc:AlternateContent>
  <xr:revisionPtr revIDLastSave="0" documentId="13_ncr:1_{E08FD033-ABC5-4735-80F8-67B44045FBF1}" xr6:coauthVersionLast="47" xr6:coauthVersionMax="47" xr10:uidLastSave="{00000000-0000-0000-0000-000000000000}"/>
  <bookViews>
    <workbookView xWindow="-120" yWindow="-120" windowWidth="29040" windowHeight="15720" xr2:uid="{E03B3D84-1435-499D-AB02-5353F92C111D}"/>
  </bookViews>
  <sheets>
    <sheet name="IRS" sheetId="1" r:id="rId1"/>
    <sheet name="DF" sheetId="3" r:id="rId2"/>
    <sheet name="DF_2" sheetId="5" r:id="rId3"/>
    <sheet name="Notes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" l="1"/>
  <c r="AB12" i="1"/>
  <c r="AB13" i="1"/>
  <c r="AB14" i="1"/>
  <c r="AB15" i="1"/>
  <c r="AB16" i="1"/>
  <c r="AB17" i="1"/>
  <c r="AB18" i="1"/>
  <c r="AB19" i="1"/>
  <c r="AB20" i="1"/>
  <c r="AB11" i="1"/>
  <c r="Y12" i="1" a="1"/>
  <c r="Y12" i="1"/>
  <c r="Y13" i="1" a="1"/>
  <c r="Y13" i="1"/>
  <c r="Y14" i="1" a="1"/>
  <c r="Y14" i="1"/>
  <c r="Y15" i="1" a="1"/>
  <c r="Y15" i="1"/>
  <c r="Y16" i="1" a="1"/>
  <c r="Y16" i="1"/>
  <c r="Y17" i="1" a="1"/>
  <c r="Y17" i="1"/>
  <c r="Y18" i="1" a="1"/>
  <c r="Y18" i="1"/>
  <c r="Y19" i="1" a="1"/>
  <c r="Y19" i="1"/>
  <c r="Y20" i="1" a="1"/>
  <c r="Y20" i="1"/>
  <c r="Y11" i="1" a="1"/>
  <c r="Y11" i="1"/>
  <c r="Z12" i="1"/>
  <c r="Z13" i="1"/>
  <c r="Z14" i="1"/>
  <c r="Z15" i="1"/>
  <c r="Z16" i="1"/>
  <c r="Z17" i="1"/>
  <c r="Z18" i="1"/>
  <c r="Z19" i="1"/>
  <c r="Z20" i="1"/>
  <c r="Z11" i="1"/>
  <c r="X12" i="1"/>
  <c r="X13" i="1"/>
  <c r="X14" i="1"/>
  <c r="X15" i="1"/>
  <c r="X16" i="1"/>
  <c r="X17" i="1"/>
  <c r="X18" i="1"/>
  <c r="X19" i="1"/>
  <c r="X20" i="1"/>
  <c r="X11" i="1"/>
  <c r="W12" i="1"/>
  <c r="W13" i="1"/>
  <c r="W14" i="1"/>
  <c r="W15" i="1"/>
  <c r="W16" i="1"/>
  <c r="W17" i="1"/>
  <c r="W18" i="1"/>
  <c r="W19" i="1"/>
  <c r="W20" i="1"/>
  <c r="W11" i="1"/>
  <c r="V12" i="1" a="1"/>
  <c r="V12" i="1"/>
  <c r="V13" i="1" a="1"/>
  <c r="V13" i="1"/>
  <c r="V14" i="1" a="1"/>
  <c r="V14" i="1"/>
  <c r="V15" i="1" a="1"/>
  <c r="V15" i="1"/>
  <c r="V16" i="1" a="1"/>
  <c r="V16" i="1"/>
  <c r="V17" i="1" a="1"/>
  <c r="V17" i="1"/>
  <c r="V18" i="1" a="1"/>
  <c r="V18" i="1"/>
  <c r="V19" i="1" a="1"/>
  <c r="V19" i="1"/>
  <c r="V20" i="1" a="1"/>
  <c r="V20" i="1"/>
  <c r="V11" i="1" a="1"/>
  <c r="V11" i="1"/>
  <c r="U12" i="1" a="1"/>
  <c r="U12" i="1"/>
  <c r="U13" i="1" a="1"/>
  <c r="U13" i="1"/>
  <c r="U14" i="1" a="1"/>
  <c r="U14" i="1"/>
  <c r="U15" i="1" a="1"/>
  <c r="U15" i="1"/>
  <c r="U16" i="1" a="1"/>
  <c r="U16" i="1"/>
  <c r="U17" i="1" a="1"/>
  <c r="U17" i="1"/>
  <c r="U18" i="1" a="1"/>
  <c r="U18" i="1"/>
  <c r="U19" i="1" a="1"/>
  <c r="U19" i="1"/>
  <c r="U20" i="1" a="1"/>
  <c r="U20" i="1"/>
  <c r="U11" i="1" a="1"/>
  <c r="U11" i="1"/>
  <c r="O2" i="5"/>
  <c r="U5" i="1" a="1"/>
  <c r="U5" i="1"/>
  <c r="G12" i="1" a="1"/>
  <c r="G12" i="1"/>
  <c r="G13" i="1" a="1"/>
  <c r="G13" i="1"/>
  <c r="G14" i="1" a="1"/>
  <c r="G14" i="1"/>
  <c r="G15" i="1" a="1"/>
  <c r="G15" i="1"/>
  <c r="G16" i="1" a="1"/>
  <c r="G16" i="1"/>
  <c r="G17" i="1" a="1"/>
  <c r="G17" i="1"/>
  <c r="G18" i="1" a="1"/>
  <c r="G18" i="1"/>
  <c r="G19" i="1" a="1"/>
  <c r="G19" i="1"/>
  <c r="G20" i="1" a="1"/>
  <c r="G20" i="1"/>
  <c r="G11" i="1" a="1"/>
  <c r="G11" i="1"/>
  <c r="O2" i="3"/>
  <c r="D12" i="1"/>
  <c r="D13" i="1"/>
  <c r="D14" i="1"/>
  <c r="D15" i="1"/>
  <c r="D16" i="1"/>
  <c r="D17" i="1"/>
  <c r="D18" i="1"/>
  <c r="D19" i="1"/>
  <c r="D20" i="1"/>
  <c r="D11" i="1"/>
  <c r="N12" i="1"/>
  <c r="N13" i="1"/>
  <c r="N14" i="1"/>
  <c r="N15" i="1"/>
  <c r="N16" i="1"/>
  <c r="N17" i="1"/>
  <c r="N18" i="1"/>
  <c r="N19" i="1"/>
  <c r="N20" i="1"/>
  <c r="N11" i="1"/>
  <c r="C12" i="1"/>
  <c r="C13" i="1"/>
  <c r="C14" i="1"/>
  <c r="C15" i="1"/>
  <c r="C16" i="1"/>
  <c r="C17" i="1"/>
  <c r="C18" i="1"/>
  <c r="C19" i="1"/>
  <c r="C20" i="1"/>
  <c r="C11" i="1"/>
  <c r="I1" i="1"/>
  <c r="Z22" i="1"/>
  <c r="T22" i="1"/>
  <c r="F22" i="1"/>
  <c r="M5" i="1"/>
  <c r="M3" i="1"/>
  <c r="O3" i="1"/>
  <c r="J11" i="1" l="1"/>
  <c r="H11" i="1"/>
  <c r="J20" i="1"/>
  <c r="H20" i="1"/>
  <c r="J19" i="1"/>
  <c r="H19" i="1"/>
  <c r="J18" i="1"/>
  <c r="H18" i="1"/>
  <c r="J17" i="1"/>
  <c r="H17" i="1"/>
  <c r="J16" i="1"/>
  <c r="H16" i="1"/>
  <c r="J15" i="1"/>
  <c r="H15" i="1"/>
  <c r="J14" i="1"/>
  <c r="H14" i="1"/>
  <c r="J13" i="1"/>
  <c r="H13" i="1"/>
  <c r="J12" i="1"/>
  <c r="H12" i="1"/>
  <c r="H22" i="1" l="1"/>
  <c r="I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C5" authorId="0" shapeId="0" xr:uid="{6D60939F-204A-4F27-AF65-9B44D11E7160}">
      <text>
        <r>
          <rPr>
            <sz val="9"/>
            <color indexed="81"/>
            <rFont val="Tahoma"/>
            <family val="2"/>
          </rPr>
          <t xml:space="preserve">**Based on today's ZC curve, the fixed rate should have been equal to this par coupon rate.
**It's the rate if used as a fixed rate in the swap, the NPV of the swap would be zero.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<sst xmlns="http://schemas.openxmlformats.org/spreadsheetml/2006/main" count="202" uniqueCount="83">
  <si>
    <t>Nominal</t>
  </si>
  <si>
    <t>AUD</t>
  </si>
  <si>
    <t>Start</t>
  </si>
  <si>
    <t>End</t>
  </si>
  <si>
    <t>Payment Frequency</t>
  </si>
  <si>
    <t>Fixed Leg</t>
  </si>
  <si>
    <t>Fixed Rate</t>
  </si>
  <si>
    <t>DayCount</t>
  </si>
  <si>
    <t>Monthly</t>
  </si>
  <si>
    <t>Quarterly</t>
  </si>
  <si>
    <t>Semi-annually</t>
  </si>
  <si>
    <t>Annually</t>
  </si>
  <si>
    <t>Leg</t>
  </si>
  <si>
    <t>Pay</t>
  </si>
  <si>
    <t>Receive</t>
  </si>
  <si>
    <t>Pricing Date</t>
  </si>
  <si>
    <t>Floating Leg</t>
  </si>
  <si>
    <t>Spread</t>
  </si>
  <si>
    <t>bps</t>
  </si>
  <si>
    <t>Discount curve</t>
  </si>
  <si>
    <t>Forward curve</t>
  </si>
  <si>
    <t>BCurveStrip("S159","curvedate",F1,"interpolation=Smooth_Forward")</t>
  </si>
  <si>
    <t>BCurveStrip("S302","curvedate",F1,"interpolation=Smooth_Forward")</t>
  </si>
  <si>
    <t>Discount Factor</t>
  </si>
  <si>
    <t>BBG</t>
  </si>
  <si>
    <t>Tool</t>
  </si>
  <si>
    <t>BCurveInt(U1,"Df.Mid",A11)</t>
  </si>
  <si>
    <t>Start date</t>
  </si>
  <si>
    <t>End date</t>
  </si>
  <si>
    <t>Payment date</t>
  </si>
  <si>
    <t>Cash flow</t>
  </si>
  <si>
    <t>Disc Factor</t>
  </si>
  <si>
    <t>PV</t>
  </si>
  <si>
    <t>Swap Annuity</t>
  </si>
  <si>
    <t>Df start</t>
  </si>
  <si>
    <t>Df end</t>
  </si>
  <si>
    <t>Rate</t>
  </si>
  <si>
    <t>Disc Fact</t>
  </si>
  <si>
    <t>Fraction</t>
  </si>
  <si>
    <t>Par Coupon</t>
  </si>
  <si>
    <t>NPV</t>
  </si>
  <si>
    <t>Curve</t>
  </si>
  <si>
    <t>AUD OIS</t>
  </si>
  <si>
    <t>Pricing date</t>
  </si>
  <si>
    <t>Tp</t>
  </si>
  <si>
    <t>Generator</t>
  </si>
  <si>
    <t>Maturity</t>
  </si>
  <si>
    <t>Ds Factor</t>
  </si>
  <si>
    <t>Ds Rate</t>
  </si>
  <si>
    <t>Market quote</t>
  </si>
  <si>
    <t>Bs</t>
  </si>
  <si>
    <t>1WK</t>
  </si>
  <si>
    <t>1MO</t>
  </si>
  <si>
    <t>2MO</t>
  </si>
  <si>
    <t>3MO</t>
  </si>
  <si>
    <t>4MO</t>
  </si>
  <si>
    <t>5MO</t>
  </si>
  <si>
    <t>6MO</t>
  </si>
  <si>
    <t>9MO</t>
  </si>
  <si>
    <t>1YR</t>
  </si>
  <si>
    <t>18MO</t>
  </si>
  <si>
    <t>2YR</t>
  </si>
  <si>
    <t>3YR</t>
  </si>
  <si>
    <t>4YR</t>
  </si>
  <si>
    <t>5YR</t>
  </si>
  <si>
    <t>6YR</t>
  </si>
  <si>
    <t>7YR</t>
  </si>
  <si>
    <t>8YR</t>
  </si>
  <si>
    <t>9YR</t>
  </si>
  <si>
    <t>10YR</t>
  </si>
  <si>
    <t>12YR</t>
  </si>
  <si>
    <t>15YR</t>
  </si>
  <si>
    <t>20YR</t>
  </si>
  <si>
    <t>25YR</t>
  </si>
  <si>
    <t>30YR</t>
  </si>
  <si>
    <t>BCurveInt($U$1,"Df.Mid",C11)</t>
  </si>
  <si>
    <t>If forward starting swap, maturity date should be first start date. Else, it should be pricing date i.e. disc fact of 1</t>
  </si>
  <si>
    <t>((B11-A11)/$B$6)*(E11/$U$4)</t>
  </si>
  <si>
    <t>BCurveInt($U$2,"Df.Mid",L11)</t>
  </si>
  <si>
    <t>BCurveInt($U$2,"Df.Mid",M11)</t>
  </si>
  <si>
    <t>(((1/P11)/(1/O11)-1)*$M$5/(M11-L11))+($O$5*0.0001)</t>
  </si>
  <si>
    <t>AUD 6M</t>
  </si>
  <si>
    <t>40YR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</si>
</sst>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%"/>
    <numFmt numFmtId="165" formatCode="0.00000%"/>
    <numFmt numFmtId="166" formatCode="[$-409]dd\-mmm\-yy;@"/>
    <numFmt numFmtId="167" formatCode="0.000000"/>
    <numFmt numFmtId="168" formatCode="0.000000000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12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3" fontId="0" fillId="2" borderId="0" xfId="0" applyNumberFormat="1" applyFill="1"/>
    <xf numFmtId="0" fontId="0" fillId="2" borderId="0" xfId="0" applyFill="1"/>
    <xf numFmtId="15" fontId="0" fillId="2" borderId="0" xfId="0" applyNumberFormat="1" applyFill="1"/>
    <xf numFmtId="165" fontId="0" fillId="2" borderId="0" xfId="0" applyNumberFormat="1" applyFill="1"/>
    <xf numFmtId="166" fontId="0" fillId="0" borderId="0" xfId="0" applyNumberFormat="1"/>
    <xf numFmtId="38" fontId="0" fillId="0" borderId="0" xfId="0" applyNumberFormat="1"/>
    <xf numFmtId="15" fontId="0" fillId="0" borderId="0" xfId="0" applyNumberFormat="1"/>
    <xf numFmtId="0" fontId="2" fillId="2" borderId="0" xfId="0" applyFont="1" applyFill="1"/>
    <xf numFmtId="167" fontId="0" fillId="0" borderId="0" xfId="0" applyNumberFormat="1"/>
    <xf numFmtId="0" fontId="2" fillId="3" borderId="0" xfId="0" applyFont="1" applyFill="1"/>
    <xf numFmtId="0" fontId="2" fillId="4" borderId="0" xfId="0" applyFont="1" applyFill="1"/>
    <xf numFmtId="164" fontId="0" fillId="0" borderId="0" xfId="1" applyNumberFormat="1" applyFont="1"/>
    <xf numFmtId="165" fontId="0" fillId="0" borderId="0" xfId="1" applyNumberFormat="1" applyFont="1"/>
    <xf numFmtId="168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10/relationships/person" Target="persons/person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1000125</xdr:colOff>
          <xdr:row>0</xdr:row>
          <xdr:rowOff>0</xdr:rowOff>
        </xdr:from>
        <xdr:to>
          <xdr:col>11</xdr:col>
          <xdr:colOff>552450</xdr:colOff>
          <xdr:row>1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200" b="1" i="0" u="none" strike="noStrike" baseline="0">
                  <a:solidFill>
                    <a:srgbClr val="000000"/>
                  </a:solidFill>
                  <a:latin typeface="Aptos Narrow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AC247-CC7F-4743-8E87-4D837D32B751}">
  <sheetPr codeName="Sheet1"/>
  <dimension ref="A1:AB533"/>
  <sheetViews>
    <sheetView tabSelected="1" workbookViewId="0">
      <selection activeCell="G5" sqref="G5"/>
    </sheetView>
  </sheetViews>
  <sheetFormatPr defaultRowHeight="15" x14ac:dyDescent="0.25"/>
  <cols>
    <col min="1" max="1" width="14.85546875" customWidth="1"/>
    <col min="2" max="2" width="11.140625" bestFit="1" customWidth="1"/>
    <col min="3" max="3" width="12.85546875" customWidth="1"/>
    <col min="4" max="4" width="10.5703125" bestFit="1" customWidth="1"/>
    <col min="5" max="5" width="27" bestFit="1" customWidth="1"/>
    <col min="6" max="6" width="15.5703125" customWidth="1"/>
    <col min="7" max="7" width="11.42578125" customWidth="1"/>
    <col min="8" max="8" width="11.5703125" bestFit="1" customWidth="1"/>
    <col min="9" max="9" width="11.28515625" customWidth="1"/>
    <col min="10" max="10" width="15.5703125" customWidth="1"/>
    <col min="11" max="11" width="10.28515625" customWidth="1"/>
    <col min="12" max="12" width="11.42578125" bestFit="1" customWidth="1"/>
    <col min="13" max="13" width="9.85546875" bestFit="1" customWidth="1"/>
    <col min="14" max="14" width="13.42578125" customWidth="1"/>
    <col min="15" max="15" width="9.85546875" bestFit="1" customWidth="1"/>
    <col min="16" max="16" width="19" bestFit="1" customWidth="1"/>
    <col min="17" max="17" width="19" customWidth="1"/>
    <col min="20" max="20" width="18.140625" customWidth="1"/>
    <col min="21" max="21" width="17" customWidth="1"/>
    <col min="22" max="22" width="10.42578125" customWidth="1"/>
    <col min="24" max="24" width="9.85546875" bestFit="1" customWidth="1"/>
    <col min="26" max="26" width="10.85546875" bestFit="1" customWidth="1"/>
  </cols>
  <sheetData>
    <row r="1" spans="1:28" x14ac:dyDescent="0.25">
      <c r="A1" s="1" t="s">
        <v>0</v>
      </c>
      <c r="B1" s="2">
        <v>267852000</v>
      </c>
      <c r="C1" s="3" t="s">
        <v>1</v>
      </c>
      <c r="E1" s="1" t="s">
        <v>15</v>
      </c>
      <c r="F1" s="4">
        <v>45674</v>
      </c>
      <c r="H1" s="1" t="s">
        <v>40</v>
      </c>
      <c r="I1" s="7">
        <f>F22+T22</f>
        <v>0</v>
      </c>
      <c r="J1" t="s">
        <v>24</v>
      </c>
      <c r="T1" s="1" t="s">
        <v>19</v>
      </c>
      <c r="U1" s="3" t="s">
        <v>21</v>
      </c>
    </row>
    <row r="2" spans="1:28" x14ac:dyDescent="0.25">
      <c r="H2" s="1" t="s">
        <v>40</v>
      </c>
      <c r="I2" s="7">
        <f>H22+Z22</f>
        <v>2110073.0400899425</v>
      </c>
      <c r="J2" t="s">
        <v>25</v>
      </c>
      <c r="T2" s="1" t="s">
        <v>20</v>
      </c>
      <c r="U2" s="3" t="s">
        <v>22</v>
      </c>
    </row>
    <row r="3" spans="1:28" x14ac:dyDescent="0.25">
      <c r="A3" s="1" t="s">
        <v>2</v>
      </c>
      <c r="B3" s="4">
        <v>49389</v>
      </c>
      <c r="C3" s="1" t="s">
        <v>3</v>
      </c>
      <c r="D3" s="4">
        <v>51216</v>
      </c>
      <c r="E3" s="1" t="s">
        <v>4</v>
      </c>
      <c r="F3" s="3" t="s">
        <v>10</v>
      </c>
      <c r="L3" s="1" t="s">
        <v>2</v>
      </c>
      <c r="M3" s="4">
        <f>B3</f>
        <v>49389</v>
      </c>
      <c r="N3" s="1" t="s">
        <v>3</v>
      </c>
      <c r="O3" s="4">
        <f>D3</f>
        <v>51216</v>
      </c>
      <c r="P3" s="1" t="s">
        <v>4</v>
      </c>
      <c r="Q3" s="3" t="s">
        <v>10</v>
      </c>
    </row>
    <row r="4" spans="1:28" x14ac:dyDescent="0.25">
      <c r="A4" s="1" t="s">
        <v>5</v>
      </c>
      <c r="B4" s="3" t="s">
        <v>13</v>
      </c>
      <c r="L4" s="1" t="s">
        <v>16</v>
      </c>
      <c r="M4" s="3" t="s">
        <v>14</v>
      </c>
      <c r="T4" s="1" t="s">
        <v>23</v>
      </c>
      <c r="U4" t="s">
        <v>26</v>
      </c>
      <c r="V4" t="s">
        <v>24</v>
      </c>
      <c r="W4" t="s">
        <v>76</v>
      </c>
    </row>
    <row r="5" spans="1:28" x14ac:dyDescent="0.25">
      <c r="A5" s="1" t="s">
        <v>6</v>
      </c>
      <c r="B5" s="5">
        <v>4.83998E-2</v>
      </c>
      <c r="C5" s="1" t="s">
        <v>39</v>
      </c>
      <c r="D5" s="14">
        <f>SUM(AB11:AB20)/SUM(J11:J20)</f>
        <v>5.1164007309691242E-2</v>
      </c>
      <c r="L5" s="1" t="s">
        <v>7</v>
      </c>
      <c r="M5" s="3">
        <f>B6</f>
        <v>365</v>
      </c>
      <c r="N5" s="1" t="s">
        <v>17</v>
      </c>
      <c r="O5" s="3">
        <v>0</v>
      </c>
      <c r="P5" t="s">
        <v>18</v>
      </c>
      <c r="T5" s="1" t="s">
        <v>23</v>
      </c>
      <c r="U5" cm="1">
        <f t="array" ref="U5">get_disFBBGSmFwCnt(DF!P$5:P$28,DF!S$5:S$28,IRS!A11,IRS!F$1)</f>
        <v>0.64823037344897627</v>
      </c>
      <c r="V5" t="s">
        <v>25</v>
      </c>
      <c r="W5" t="s">
        <v>76</v>
      </c>
    </row>
    <row r="6" spans="1:28" x14ac:dyDescent="0.25">
      <c r="A6" s="1" t="s">
        <v>7</v>
      </c>
      <c r="B6" s="3">
        <v>365</v>
      </c>
    </row>
    <row r="9" spans="1:28" x14ac:dyDescent="0.25">
      <c r="E9" t="s">
        <v>24</v>
      </c>
      <c r="F9" t="s">
        <v>24</v>
      </c>
      <c r="G9" t="s">
        <v>25</v>
      </c>
      <c r="H9" t="s">
        <v>25</v>
      </c>
      <c r="I9" t="s">
        <v>24</v>
      </c>
      <c r="J9" t="s">
        <v>25</v>
      </c>
      <c r="O9" t="s">
        <v>24</v>
      </c>
      <c r="P9" t="s">
        <v>24</v>
      </c>
      <c r="Q9" t="s">
        <v>24</v>
      </c>
      <c r="R9" t="s">
        <v>24</v>
      </c>
      <c r="S9" t="s">
        <v>24</v>
      </c>
      <c r="T9" t="s">
        <v>24</v>
      </c>
      <c r="U9" t="s">
        <v>25</v>
      </c>
      <c r="V9" t="s">
        <v>25</v>
      </c>
      <c r="W9" t="s">
        <v>25</v>
      </c>
      <c r="X9" t="s">
        <v>25</v>
      </c>
      <c r="Y9" t="s">
        <v>25</v>
      </c>
      <c r="Z9" t="s">
        <v>25</v>
      </c>
      <c r="AA9" t="s">
        <v>24</v>
      </c>
      <c r="AB9" t="s">
        <v>25</v>
      </c>
    </row>
    <row r="10" spans="1:28" x14ac:dyDescent="0.25">
      <c r="A10" s="11" t="s">
        <v>27</v>
      </c>
      <c r="B10" s="11" t="s">
        <v>28</v>
      </c>
      <c r="C10" s="11" t="s">
        <v>29</v>
      </c>
      <c r="D10" s="11" t="s">
        <v>30</v>
      </c>
      <c r="E10" s="11" t="s">
        <v>31</v>
      </c>
      <c r="F10" s="11" t="s">
        <v>32</v>
      </c>
      <c r="G10" s="11" t="s">
        <v>31</v>
      </c>
      <c r="H10" s="11" t="s">
        <v>32</v>
      </c>
      <c r="I10" s="11" t="s">
        <v>33</v>
      </c>
      <c r="J10" s="11" t="s">
        <v>33</v>
      </c>
      <c r="L10" s="12" t="s">
        <v>27</v>
      </c>
      <c r="M10" s="12" t="s">
        <v>28</v>
      </c>
      <c r="N10" s="12" t="s">
        <v>29</v>
      </c>
      <c r="O10" s="12" t="s">
        <v>34</v>
      </c>
      <c r="P10" s="12" t="s">
        <v>35</v>
      </c>
      <c r="Q10" s="12" t="s">
        <v>36</v>
      </c>
      <c r="R10" s="12" t="s">
        <v>30</v>
      </c>
      <c r="S10" s="12" t="s">
        <v>37</v>
      </c>
      <c r="T10" s="12" t="s">
        <v>32</v>
      </c>
      <c r="U10" s="12" t="s">
        <v>34</v>
      </c>
      <c r="V10" s="12" t="s">
        <v>35</v>
      </c>
      <c r="W10" s="12" t="s">
        <v>36</v>
      </c>
      <c r="X10" s="12" t="s">
        <v>30</v>
      </c>
      <c r="Y10" s="12" t="s">
        <v>37</v>
      </c>
      <c r="Z10" s="12" t="s">
        <v>32</v>
      </c>
      <c r="AA10" s="12" t="s">
        <v>38</v>
      </c>
      <c r="AB10" s="12" t="s">
        <v>38</v>
      </c>
    </row>
    <row r="11" spans="1:28" x14ac:dyDescent="0.25">
      <c r="A11" s="6">
        <v>49389</v>
      </c>
      <c r="B11" s="6">
        <v>49573</v>
      </c>
      <c r="C11" s="6">
        <f>B11</f>
        <v>49573</v>
      </c>
      <c r="D11" s="7">
        <f>$B$1*$B$5*(B11-A11)/$B$6*IF($B$4="Pay",-1,1)</f>
        <v>-6535268.2582093151</v>
      </c>
      <c r="E11" t="s">
        <v>75</v>
      </c>
      <c r="G11" cm="1">
        <f t="array" ref="G11">get_disFBBGSmFwCnt(DF!P$5:P$28,DF!S$5:S$28,IRS!C11,IRS!F$1)</f>
        <v>0.63268895941613434</v>
      </c>
      <c r="H11" s="7">
        <f>D11*G11</f>
        <v>-4134792.0737917442</v>
      </c>
      <c r="I11" t="s">
        <v>77</v>
      </c>
      <c r="J11">
        <f>((B11-A11)/$B$6)*(G11/$U$5)</f>
        <v>0.49202349100849557</v>
      </c>
      <c r="L11" s="6">
        <v>49389</v>
      </c>
      <c r="M11" s="6">
        <v>49573</v>
      </c>
      <c r="N11" s="6">
        <f>M11</f>
        <v>49573</v>
      </c>
      <c r="O11" t="s">
        <v>78</v>
      </c>
      <c r="P11" t="s">
        <v>79</v>
      </c>
      <c r="Q11" t="s">
        <v>80</v>
      </c>
      <c r="U11" cm="1">
        <f t="array" ref="U11">get_disFBBGSmFwCnt(DF_2!P$5:P$22,DF_2!S$5:S$22,IRS!L11,IRS!F$1)</f>
        <v>0.63126880271348962</v>
      </c>
      <c r="V11" cm="1">
        <f t="array" ref="V11">get_disFBBGSmFwCnt(DF_2!P$5:P$22,DF_2!S$5:S$22,IRS!M11,IRS!F$1)</f>
        <v>0.61544032072042609</v>
      </c>
      <c r="W11" s="13">
        <f>(((1/V11)/(1/U11)-1)*$M$5/(M11-L11))+($O$5*0.0001)</f>
        <v>5.1018579467458643E-2</v>
      </c>
      <c r="X11" s="7">
        <f>B$1*W11*(M11-L11)/M$5*IF(M$4="Receive",1,-1)</f>
        <v>6888873.5691596242</v>
      </c>
      <c r="Y11" cm="1">
        <f t="array" ref="Y11">get_disFBBGSmFwCnt(DF!P$5:P$28,DF!S$5:S$28,IRS!N11,IRS!F$1)</f>
        <v>0.63268895941613434</v>
      </c>
      <c r="Z11" s="7">
        <f>X11*Y11</f>
        <v>4358514.2500209138</v>
      </c>
      <c r="AB11">
        <f>W11*((M11-L11)/M$5)*(Y11/U$5)</f>
        <v>2.5102339575873354E-2</v>
      </c>
    </row>
    <row r="12" spans="1:28" x14ac:dyDescent="0.25">
      <c r="A12" s="6">
        <v>49573</v>
      </c>
      <c r="B12" s="6">
        <v>49755</v>
      </c>
      <c r="C12" s="6">
        <f t="shared" ref="C12:C20" si="0">B12</f>
        <v>49755</v>
      </c>
      <c r="D12" s="7">
        <f t="shared" ref="D12:D20" si="1">$B$1*$B$5*(B12-A12)/$B$6*IF($B$4="Pay",-1,1)</f>
        <v>-6464232.7336635618</v>
      </c>
      <c r="G12" cm="1">
        <f t="array" ref="G12">get_disFBBGSmFwCnt(DF!P$5:P$28,DF!S$5:S$28,IRS!C12,IRS!F$1)</f>
        <v>0.61764177855206848</v>
      </c>
      <c r="H12" s="7">
        <f t="shared" ref="H12:H20" si="2">D12*G12</f>
        <v>-3992580.2025944619</v>
      </c>
      <c r="J12">
        <f t="shared" ref="J12:J20" si="3">((B12-A12)/$B$6)*(G12/$U$5)</f>
        <v>0.47510085497732718</v>
      </c>
      <c r="L12" s="6">
        <v>49573</v>
      </c>
      <c r="M12" s="6">
        <v>49755</v>
      </c>
      <c r="N12" s="6">
        <f t="shared" ref="N12:N20" si="4">M12</f>
        <v>49755</v>
      </c>
      <c r="U12" cm="1">
        <f t="array" ref="U12">get_disFBBGSmFwCnt(DF_2!P$5:P$22,DF_2!S$5:S$22,IRS!L12,IRS!F$1)</f>
        <v>0.61544032072042609</v>
      </c>
      <c r="V12" cm="1">
        <f t="array" ref="V12">get_disFBBGSmFwCnt(DF_2!P$5:P$22,DF_2!S$5:S$22,IRS!M12,IRS!F$1)</f>
        <v>0.600102437162363</v>
      </c>
      <c r="W12" s="13">
        <f t="shared" ref="W12:W20" si="5">(((1/V12)/(1/U12)-1)*$M$5/(M12-L12))+($O$5*0.0001)</f>
        <v>5.1257984131945419E-2</v>
      </c>
      <c r="X12" s="7">
        <f t="shared" ref="X12:X20" si="6">B$1*W12*(M12-L12)/M$5*IF(M$4="Receive",1,-1)</f>
        <v>6845969.1752306623</v>
      </c>
      <c r="Y12" cm="1">
        <f t="array" ref="Y12">get_disFBBGSmFwCnt(DF!P$5:P$28,DF!S$5:S$28,IRS!N12,IRS!F$1)</f>
        <v>0.61764177855206848</v>
      </c>
      <c r="Z12" s="7">
        <f t="shared" ref="Z12:Z20" si="7">X12*Y12</f>
        <v>4228356.5773021039</v>
      </c>
      <c r="AB12">
        <f t="shared" ref="AB12:AB20" si="8">W12*((M12-L12)/M$5)*(Y12/U$5)</f>
        <v>2.4352712085501538E-2</v>
      </c>
    </row>
    <row r="13" spans="1:28" x14ac:dyDescent="0.25">
      <c r="A13" s="6">
        <v>49755</v>
      </c>
      <c r="B13" s="6">
        <v>49940</v>
      </c>
      <c r="C13" s="6">
        <f t="shared" si="0"/>
        <v>49940</v>
      </c>
      <c r="D13" s="7">
        <f t="shared" si="1"/>
        <v>-6570786.0204821909</v>
      </c>
      <c r="G13" cm="1">
        <f t="array" ref="G13">get_disFBBGSmFwCnt(DF!P$5:P$28,DF!S$5:S$28,IRS!C13,IRS!F$1)</f>
        <v>0.60270682798968533</v>
      </c>
      <c r="H13" s="7">
        <f t="shared" si="2"/>
        <v>-3960257.5998037891</v>
      </c>
      <c r="J13">
        <f t="shared" si="3"/>
        <v>0.47125459630706629</v>
      </c>
      <c r="L13" s="6">
        <v>49755</v>
      </c>
      <c r="M13" s="6">
        <v>49940</v>
      </c>
      <c r="N13" s="6">
        <f t="shared" si="4"/>
        <v>49940</v>
      </c>
      <c r="U13" cm="1">
        <f t="array" ref="U13">get_disFBBGSmFwCnt(DF_2!P$5:P$22,DF_2!S$5:S$22,IRS!L13,IRS!F$1)</f>
        <v>0.600102437162363</v>
      </c>
      <c r="V13" cm="1">
        <f t="array" ref="V13">get_disFBBGSmFwCnt(DF_2!P$5:P$22,DF_2!S$5:S$22,IRS!M13,IRS!F$1)</f>
        <v>0.58486063017004886</v>
      </c>
      <c r="W13" s="13">
        <f t="shared" si="5"/>
        <v>5.1416819159741944E-2</v>
      </c>
      <c r="X13" s="7">
        <f t="shared" si="6"/>
        <v>6980378.3600860592</v>
      </c>
      <c r="Y13" cm="1">
        <f t="array" ref="Y13">get_disFBBGSmFwCnt(DF!P$5:P$28,DF!S$5:S$28,IRS!N13,IRS!F$1)</f>
        <v>0.60270682798968533</v>
      </c>
      <c r="Z13" s="7">
        <f t="shared" si="7"/>
        <v>4207121.6995753106</v>
      </c>
      <c r="AB13">
        <f t="shared" si="8"/>
        <v>2.4230412356517624E-2</v>
      </c>
    </row>
    <row r="14" spans="1:28" x14ac:dyDescent="0.25">
      <c r="A14" s="6">
        <v>49940</v>
      </c>
      <c r="B14" s="6">
        <v>50122</v>
      </c>
      <c r="C14" s="6">
        <f t="shared" si="0"/>
        <v>50122</v>
      </c>
      <c r="D14" s="7">
        <f t="shared" si="1"/>
        <v>-6464232.7336635618</v>
      </c>
      <c r="G14" cm="1">
        <f t="array" ref="G14">get_disFBBGSmFwCnt(DF!P$5:P$28,DF!S$5:S$28,IRS!C14,IRS!F$1)</f>
        <v>0.5883963225852018</v>
      </c>
      <c r="H14" s="7">
        <f t="shared" si="2"/>
        <v>-3803530.7688225261</v>
      </c>
      <c r="J14">
        <f t="shared" si="3"/>
        <v>0.45260473891692571</v>
      </c>
      <c r="L14" s="6">
        <v>49940</v>
      </c>
      <c r="M14" s="6">
        <v>50122</v>
      </c>
      <c r="N14" s="6">
        <f t="shared" si="4"/>
        <v>50122</v>
      </c>
      <c r="U14" cm="1">
        <f t="array" ref="U14">get_disFBBGSmFwCnt(DF_2!P$5:P$22,DF_2!S$5:S$22,IRS!L14,IRS!F$1)</f>
        <v>0.58486063017004886</v>
      </c>
      <c r="V14" cm="1">
        <f t="array" ref="V14">get_disFBBGSmFwCnt(DF_2!P$5:P$22,DF_2!S$5:S$22,IRS!M14,IRS!F$1)</f>
        <v>0.57023312118784419</v>
      </c>
      <c r="W14" s="13">
        <f t="shared" si="5"/>
        <v>5.144455452144709E-2</v>
      </c>
      <c r="X14" s="7">
        <f t="shared" si="6"/>
        <v>6870887.3447055165</v>
      </c>
      <c r="Y14" cm="1">
        <f t="array" ref="Y14">get_disFBBGSmFwCnt(DF!P$5:P$28,DF!S$5:S$28,IRS!N14,IRS!F$1)</f>
        <v>0.5883963225852018</v>
      </c>
      <c r="Z14" s="7">
        <f t="shared" si="7"/>
        <v>4042804.8465219275</v>
      </c>
      <c r="AB14">
        <f t="shared" si="8"/>
        <v>2.3284049167877109E-2</v>
      </c>
    </row>
    <row r="15" spans="1:28" x14ac:dyDescent="0.25">
      <c r="A15" s="6">
        <v>50122</v>
      </c>
      <c r="B15" s="6">
        <v>50304</v>
      </c>
      <c r="C15" s="6">
        <f t="shared" si="0"/>
        <v>50304</v>
      </c>
      <c r="D15" s="7">
        <f t="shared" si="1"/>
        <v>-6464232.7336635618</v>
      </c>
      <c r="G15" cm="1">
        <f t="array" ref="G15">get_disFBBGSmFwCnt(DF!P$5:P$28,DF!S$5:S$28,IRS!C15,IRS!F$1)</f>
        <v>0.57448112387327543</v>
      </c>
      <c r="H15" s="7">
        <f t="shared" si="2"/>
        <v>-3713579.6858134586</v>
      </c>
      <c r="J15">
        <f t="shared" si="3"/>
        <v>0.44190092477288578</v>
      </c>
      <c r="L15" s="6">
        <v>50122</v>
      </c>
      <c r="M15" s="6">
        <v>50304</v>
      </c>
      <c r="N15" s="6">
        <f t="shared" si="4"/>
        <v>50304</v>
      </c>
      <c r="U15" cm="1">
        <f t="array" ref="U15">get_disFBBGSmFwCnt(DF_2!P$5:P$22,DF_2!S$5:S$22,IRS!L15,IRS!F$1)</f>
        <v>0.57023312118784419</v>
      </c>
      <c r="V15" cm="1">
        <f t="array" ref="V15">get_disFBBGSmFwCnt(DF_2!P$5:P$22,DF_2!S$5:S$22,IRS!M15,IRS!F$1)</f>
        <v>0.55598463577876511</v>
      </c>
      <c r="W15" s="13">
        <f t="shared" si="5"/>
        <v>5.1395771322891678E-2</v>
      </c>
      <c r="X15" s="7">
        <f t="shared" si="6"/>
        <v>6864371.9056137279</v>
      </c>
      <c r="Y15" cm="1">
        <f t="array" ref="Y15">get_disFBBGSmFwCnt(DF!P$5:P$28,DF!S$5:S$28,IRS!N15,IRS!F$1)</f>
        <v>0.57448112387327543</v>
      </c>
      <c r="Z15" s="7">
        <f t="shared" si="7"/>
        <v>3943452.087021112</v>
      </c>
      <c r="AB15">
        <f t="shared" si="8"/>
        <v>2.2711838877001598E-2</v>
      </c>
    </row>
    <row r="16" spans="1:28" x14ac:dyDescent="0.25">
      <c r="A16" s="6">
        <v>50304</v>
      </c>
      <c r="B16" s="6">
        <v>50486</v>
      </c>
      <c r="C16" s="6">
        <f t="shared" si="0"/>
        <v>50486</v>
      </c>
      <c r="D16" s="7">
        <f t="shared" si="1"/>
        <v>-6464232.7336635618</v>
      </c>
      <c r="G16" cm="1">
        <f t="array" ref="G16">get_disFBBGSmFwCnt(DF!P$5:P$28,DF!S$5:S$28,IRS!C16,IRS!F$1)</f>
        <v>0.56095912744193521</v>
      </c>
      <c r="H16" s="7">
        <f t="shared" si="2"/>
        <v>-3626170.353857507</v>
      </c>
      <c r="J16">
        <f t="shared" si="3"/>
        <v>0.43149956869786349</v>
      </c>
      <c r="L16" s="6">
        <v>50304</v>
      </c>
      <c r="M16" s="6">
        <v>50486</v>
      </c>
      <c r="N16" s="6">
        <f t="shared" si="4"/>
        <v>50486</v>
      </c>
      <c r="U16" cm="1">
        <f t="array" ref="U16">get_disFBBGSmFwCnt(DF_2!P$5:P$22,DF_2!S$5:S$22,IRS!L16,IRS!F$1)</f>
        <v>0.55598463577876511</v>
      </c>
      <c r="V16" cm="1">
        <f t="array" ref="V16">get_disFBBGSmFwCnt(DF_2!P$5:P$22,DF_2!S$5:S$22,IRS!M16,IRS!F$1)</f>
        <v>0.54211568594163317</v>
      </c>
      <c r="W16" s="13">
        <f t="shared" si="5"/>
        <v>5.130658163309728E-2</v>
      </c>
      <c r="X16" s="7">
        <f t="shared" si="6"/>
        <v>6852459.8127481751</v>
      </c>
      <c r="Y16" cm="1">
        <f t="array" ref="Y16">get_disFBBGSmFwCnt(DF!P$5:P$28,DF!S$5:S$28,IRS!N16,IRS!F$1)</f>
        <v>0.56095912744193521</v>
      </c>
      <c r="Z16" s="7">
        <f t="shared" si="7"/>
        <v>3843949.877390143</v>
      </c>
      <c r="AB16">
        <f t="shared" si="8"/>
        <v>2.2138767846043201E-2</v>
      </c>
    </row>
    <row r="17" spans="1:28" x14ac:dyDescent="0.25">
      <c r="A17" s="6">
        <v>50486</v>
      </c>
      <c r="B17" s="6">
        <v>50669</v>
      </c>
      <c r="C17" s="6">
        <f t="shared" si="0"/>
        <v>50669</v>
      </c>
      <c r="D17" s="7">
        <f t="shared" si="1"/>
        <v>-6499750.4959364384</v>
      </c>
      <c r="G17" cm="1">
        <f t="array" ref="G17">get_disFBBGSmFwCnt(DF!P$5:P$28,DF!S$5:S$28,IRS!C17,IRS!F$1)</f>
        <v>0.54775375148781413</v>
      </c>
      <c r="H17" s="7">
        <f t="shared" si="2"/>
        <v>-3560262.7178839645</v>
      </c>
      <c r="J17">
        <f t="shared" si="3"/>
        <v>0.42365682725957837</v>
      </c>
      <c r="L17" s="6">
        <v>50486</v>
      </c>
      <c r="M17" s="6">
        <v>50669</v>
      </c>
      <c r="N17" s="6">
        <f t="shared" si="4"/>
        <v>50669</v>
      </c>
      <c r="U17" cm="1">
        <f t="array" ref="U17">get_disFBBGSmFwCnt(DF_2!P$5:P$22,DF_2!S$5:S$22,IRS!L17,IRS!F$1)</f>
        <v>0.54211568594163317</v>
      </c>
      <c r="V17" cm="1">
        <f t="array" ref="V17">get_disFBBGSmFwCnt(DF_2!P$5:P$22,DF_2!S$5:S$22,IRS!M17,IRS!F$1)</f>
        <v>0.52855133617591088</v>
      </c>
      <c r="W17" s="13">
        <f t="shared" si="5"/>
        <v>5.1186281350300157E-2</v>
      </c>
      <c r="X17" s="7">
        <f t="shared" si="6"/>
        <v>6873955.2145206286</v>
      </c>
      <c r="Y17" cm="1">
        <f t="array" ref="Y17">get_disFBBGSmFwCnt(DF!P$5:P$28,DF!S$5:S$28,IRS!N17,IRS!F$1)</f>
        <v>0.54775375148781413</v>
      </c>
      <c r="Z17" s="7">
        <f t="shared" si="7"/>
        <v>3765234.7563128965</v>
      </c>
      <c r="AB17">
        <f t="shared" si="8"/>
        <v>2.1685417556084292E-2</v>
      </c>
    </row>
    <row r="18" spans="1:28" x14ac:dyDescent="0.25">
      <c r="A18" s="6">
        <v>50669</v>
      </c>
      <c r="B18" s="6">
        <v>50850</v>
      </c>
      <c r="C18" s="6">
        <f t="shared" si="0"/>
        <v>50850</v>
      </c>
      <c r="D18" s="7">
        <f t="shared" si="1"/>
        <v>-6428714.9713906851</v>
      </c>
      <c r="G18" cm="1">
        <f t="array" ref="G18">get_disFBBGSmFwCnt(DF!P$5:P$28,DF!S$5:S$28,IRS!C18,IRS!F$1)</f>
        <v>0.53507096771454743</v>
      </c>
      <c r="H18" s="7">
        <f t="shared" si="2"/>
        <v>-3439818.7409030129</v>
      </c>
      <c r="J18">
        <f t="shared" si="3"/>
        <v>0.40932448237560209</v>
      </c>
      <c r="L18" s="6">
        <v>50669</v>
      </c>
      <c r="M18" s="6">
        <v>50850</v>
      </c>
      <c r="N18" s="6">
        <f t="shared" si="4"/>
        <v>50850</v>
      </c>
      <c r="U18" cm="1">
        <f t="array" ref="U18">get_disFBBGSmFwCnt(DF_2!P$5:P$22,DF_2!S$5:S$22,IRS!L18,IRS!F$1)</f>
        <v>0.52855133617591088</v>
      </c>
      <c r="V18" cm="1">
        <f t="array" ref="V18">get_disFBBGSmFwCnt(DF_2!P$5:P$22,DF_2!S$5:S$22,IRS!M18,IRS!F$1)</f>
        <v>0.5155076670914891</v>
      </c>
      <c r="W18" s="13">
        <f t="shared" si="5"/>
        <v>5.1024520600222965E-2</v>
      </c>
      <c r="X18" s="7">
        <f t="shared" si="6"/>
        <v>6777344.1107336357</v>
      </c>
      <c r="Y18" cm="1">
        <f t="array" ref="Y18">get_disFBBGSmFwCnt(DF!P$5:P$28,DF!S$5:S$28,IRS!N18,IRS!F$1)</f>
        <v>0.53507096771454743</v>
      </c>
      <c r="Z18" s="7">
        <f t="shared" si="7"/>
        <v>3626360.0718647353</v>
      </c>
      <c r="AB18">
        <f t="shared" si="8"/>
        <v>2.0885585483149508E-2</v>
      </c>
    </row>
    <row r="19" spans="1:28" x14ac:dyDescent="0.25">
      <c r="A19" s="6">
        <v>50850</v>
      </c>
      <c r="B19" s="6">
        <v>51034</v>
      </c>
      <c r="C19" s="6">
        <f t="shared" si="0"/>
        <v>51034</v>
      </c>
      <c r="D19" s="7">
        <f t="shared" si="1"/>
        <v>-6535268.2582093151</v>
      </c>
      <c r="G19" cm="1">
        <f t="array" ref="G19">get_disFBBGSmFwCnt(DF!P$5:P$28,DF!S$5:S$28,IRS!C19,IRS!F$1)</f>
        <v>0.52255448372810964</v>
      </c>
      <c r="H19" s="7">
        <f t="shared" si="2"/>
        <v>-3415033.7306932709</v>
      </c>
      <c r="J19">
        <f t="shared" si="3"/>
        <v>0.40637516665900902</v>
      </c>
      <c r="L19" s="6">
        <v>50850</v>
      </c>
      <c r="M19" s="6">
        <v>51034</v>
      </c>
      <c r="N19" s="6">
        <f t="shared" si="4"/>
        <v>51034</v>
      </c>
      <c r="U19" cm="1">
        <f t="array" ref="U19">get_disFBBGSmFwCnt(DF_2!P$5:P$22,DF_2!S$5:S$22,IRS!L19,IRS!F$1)</f>
        <v>0.5155076670914891</v>
      </c>
      <c r="V19" cm="1">
        <f t="array" ref="V19">get_disFBBGSmFwCnt(DF_2!P$5:P$22,DF_2!S$5:S$22,IRS!M19,IRS!F$1)</f>
        <v>0.50262315391982038</v>
      </c>
      <c r="W19" s="13">
        <f t="shared" si="5"/>
        <v>5.0851124863010133E-2</v>
      </c>
      <c r="X19" s="7">
        <f t="shared" si="6"/>
        <v>6866262.7161985924</v>
      </c>
      <c r="Y19" cm="1">
        <f t="array" ref="Y19">get_disFBBGSmFwCnt(DF!P$5:P$28,DF!S$5:S$28,IRS!N19,IRS!F$1)</f>
        <v>0.52255448372810964</v>
      </c>
      <c r="Z19" s="7">
        <f t="shared" si="7"/>
        <v>3587996.3688047235</v>
      </c>
      <c r="AB19">
        <f t="shared" si="8"/>
        <v>2.066463434100382E-2</v>
      </c>
    </row>
    <row r="20" spans="1:28" x14ac:dyDescent="0.25">
      <c r="A20" s="6">
        <v>51034</v>
      </c>
      <c r="B20" s="6">
        <v>51216</v>
      </c>
      <c r="C20" s="6">
        <f t="shared" si="0"/>
        <v>51216</v>
      </c>
      <c r="D20" s="7">
        <f t="shared" si="1"/>
        <v>-6464232.7336635618</v>
      </c>
      <c r="G20" cm="1">
        <f t="array" ref="G20">get_disFBBGSmFwCnt(DF!P$5:P$28,DF!S$5:S$28,IRS!C20,IRS!F$1)</f>
        <v>0.51053714596590094</v>
      </c>
      <c r="H20" s="7">
        <f t="shared" si="2"/>
        <v>-3300230.9307039487</v>
      </c>
      <c r="J20">
        <f t="shared" si="3"/>
        <v>0.39271409896316789</v>
      </c>
      <c r="L20" s="6">
        <v>51034</v>
      </c>
      <c r="M20" s="6">
        <v>51216</v>
      </c>
      <c r="N20" s="6">
        <f t="shared" si="4"/>
        <v>51216</v>
      </c>
      <c r="U20" cm="1">
        <f t="array" ref="U20">get_disFBBGSmFwCnt(DF_2!P$5:P$22,DF_2!S$5:S$22,IRS!L20,IRS!F$1)</f>
        <v>0.50262315391982038</v>
      </c>
      <c r="V20" cm="1">
        <f t="array" ref="V20">get_disFBBGSmFwCnt(DF_2!P$5:P$22,DF_2!S$5:S$22,IRS!M20,IRS!F$1)</f>
        <v>0.49024573148718342</v>
      </c>
      <c r="W20" s="13">
        <f t="shared" si="5"/>
        <v>5.0633490689529555E-2</v>
      </c>
      <c r="X20" s="7">
        <f t="shared" si="6"/>
        <v>6762562.4059377536</v>
      </c>
      <c r="Y20" cm="1">
        <f t="array" ref="Y20">get_disFBBGSmFwCnt(DF!P$5:P$28,DF!S$5:S$28,IRS!N20,IRS!F$1)</f>
        <v>0.51053714596590094</v>
      </c>
      <c r="Z20" s="7">
        <f t="shared" si="7"/>
        <v>3452539.3101437571</v>
      </c>
      <c r="AB20">
        <f t="shared" si="8"/>
        <v>1.9884485673498549E-2</v>
      </c>
    </row>
    <row r="21" spans="1:28" x14ac:dyDescent="0.25">
      <c r="A21" s="6"/>
      <c r="B21" s="6"/>
      <c r="C21" s="6"/>
      <c r="L21" s="6"/>
      <c r="M21" s="6"/>
      <c r="N21" s="6"/>
    </row>
    <row r="22" spans="1:28" x14ac:dyDescent="0.25">
      <c r="A22" s="6"/>
      <c r="B22" s="6"/>
      <c r="C22" s="6"/>
      <c r="F22">
        <f>SUM(F11:F20)</f>
        <v>0</v>
      </c>
      <c r="H22" s="7">
        <f>SUM(H11:H20)</f>
        <v>-36946256.804867677</v>
      </c>
      <c r="L22" s="6"/>
      <c r="M22" s="6"/>
      <c r="N22" s="6"/>
      <c r="T22">
        <f>SUM(T11:T20)</f>
        <v>0</v>
      </c>
      <c r="Z22" s="7">
        <f>SUM(Z11:Z20)</f>
        <v>39056329.84495762</v>
      </c>
    </row>
    <row r="23" spans="1:28" x14ac:dyDescent="0.25">
      <c r="A23" s="6"/>
      <c r="B23" s="6"/>
      <c r="C23" s="6"/>
      <c r="L23" s="6"/>
      <c r="M23" s="6"/>
      <c r="N23" s="6"/>
    </row>
    <row r="24" spans="1:28" x14ac:dyDescent="0.25">
      <c r="A24" s="6"/>
      <c r="B24" s="6"/>
      <c r="C24" s="6"/>
      <c r="L24" s="6"/>
      <c r="M24" s="6"/>
      <c r="N24" s="6"/>
    </row>
    <row r="25" spans="1:28" x14ac:dyDescent="0.25">
      <c r="A25" s="6"/>
      <c r="B25" s="6"/>
      <c r="C25" s="6"/>
      <c r="L25" s="6"/>
      <c r="M25" s="6"/>
      <c r="N25" s="6"/>
    </row>
    <row r="26" spans="1:28" x14ac:dyDescent="0.25">
      <c r="A26" s="6"/>
      <c r="B26" s="6"/>
      <c r="C26" s="6"/>
      <c r="L26" s="6"/>
      <c r="M26" s="6"/>
      <c r="N26" s="6"/>
    </row>
    <row r="27" spans="1:28" x14ac:dyDescent="0.25">
      <c r="A27" s="6"/>
      <c r="B27" s="6"/>
      <c r="C27" s="6"/>
      <c r="L27" s="6"/>
      <c r="M27" s="6"/>
      <c r="N27" s="6"/>
    </row>
    <row r="28" spans="1:28" x14ac:dyDescent="0.25">
      <c r="A28" s="6"/>
      <c r="B28" s="6"/>
      <c r="C28" s="6"/>
      <c r="L28" s="6"/>
      <c r="M28" s="6"/>
      <c r="N28" s="6"/>
    </row>
    <row r="29" spans="1:28" x14ac:dyDescent="0.25">
      <c r="A29" s="6"/>
      <c r="B29" s="6"/>
      <c r="C29" s="6"/>
      <c r="L29" s="6"/>
      <c r="M29" s="6"/>
      <c r="N29" s="6"/>
    </row>
    <row r="30" spans="1:28" x14ac:dyDescent="0.25">
      <c r="A30" s="6"/>
      <c r="B30" s="6"/>
      <c r="C30" s="6"/>
      <c r="L30" s="6"/>
      <c r="M30" s="6"/>
      <c r="N30" s="6"/>
    </row>
    <row r="31" spans="1:28" x14ac:dyDescent="0.25">
      <c r="A31" s="6"/>
      <c r="B31" s="6"/>
      <c r="C31" s="6"/>
      <c r="L31" s="6"/>
      <c r="M31" s="6"/>
      <c r="N31" s="6"/>
    </row>
    <row r="32" spans="1:28" x14ac:dyDescent="0.25">
      <c r="A32" s="6"/>
      <c r="B32" s="6"/>
      <c r="C32" s="6"/>
      <c r="L32" s="6"/>
      <c r="M32" s="6"/>
      <c r="N32" s="6"/>
    </row>
    <row r="33" spans="1:14" x14ac:dyDescent="0.25">
      <c r="A33" s="6"/>
      <c r="B33" s="6"/>
      <c r="C33" s="6"/>
      <c r="L33" s="6"/>
      <c r="M33" s="6"/>
      <c r="N33" s="6"/>
    </row>
    <row r="34" spans="1:14" x14ac:dyDescent="0.25">
      <c r="A34" s="6"/>
      <c r="B34" s="6"/>
      <c r="C34" s="6"/>
      <c r="L34" s="6"/>
      <c r="M34" s="6"/>
      <c r="N34" s="6"/>
    </row>
    <row r="35" spans="1:14" x14ac:dyDescent="0.25">
      <c r="A35" s="6"/>
      <c r="B35" s="6"/>
      <c r="C35" s="6"/>
      <c r="L35" s="6"/>
      <c r="M35" s="6"/>
      <c r="N35" s="6"/>
    </row>
    <row r="36" spans="1:14" x14ac:dyDescent="0.25">
      <c r="A36" s="6"/>
      <c r="B36" s="6"/>
      <c r="C36" s="6"/>
      <c r="L36" s="6"/>
      <c r="M36" s="6"/>
      <c r="N36" s="6"/>
    </row>
    <row r="37" spans="1:14" x14ac:dyDescent="0.25">
      <c r="A37" s="6"/>
      <c r="B37" s="6"/>
      <c r="C37" s="6"/>
      <c r="L37" s="6"/>
      <c r="M37" s="6"/>
      <c r="N37" s="6"/>
    </row>
    <row r="38" spans="1:14" x14ac:dyDescent="0.25">
      <c r="A38" s="6"/>
      <c r="B38" s="6"/>
      <c r="C38" s="6"/>
      <c r="L38" s="6"/>
      <c r="M38" s="6"/>
      <c r="N38" s="6"/>
    </row>
    <row r="39" spans="1:14" x14ac:dyDescent="0.25">
      <c r="A39" s="6"/>
      <c r="B39" s="6"/>
      <c r="C39" s="6"/>
      <c r="L39" s="6"/>
      <c r="M39" s="6"/>
      <c r="N39" s="6"/>
    </row>
    <row r="40" spans="1:14" x14ac:dyDescent="0.25">
      <c r="A40" s="6"/>
      <c r="B40" s="6"/>
      <c r="C40" s="6"/>
      <c r="L40" s="6"/>
      <c r="M40" s="6"/>
      <c r="N40" s="6"/>
    </row>
    <row r="41" spans="1:14" x14ac:dyDescent="0.25">
      <c r="A41" s="6"/>
      <c r="B41" s="6"/>
      <c r="C41" s="6"/>
      <c r="L41" s="6"/>
      <c r="M41" s="6"/>
      <c r="N41" s="6"/>
    </row>
    <row r="42" spans="1:14" x14ac:dyDescent="0.25">
      <c r="A42" s="6"/>
      <c r="B42" s="6"/>
      <c r="C42" s="6"/>
      <c r="L42" s="6"/>
      <c r="M42" s="6"/>
      <c r="N42" s="6"/>
    </row>
    <row r="43" spans="1:14" x14ac:dyDescent="0.25">
      <c r="A43" s="6"/>
      <c r="B43" s="6"/>
      <c r="C43" s="6"/>
      <c r="L43" s="6"/>
      <c r="M43" s="6"/>
      <c r="N43" s="6"/>
    </row>
    <row r="44" spans="1:14" x14ac:dyDescent="0.25">
      <c r="A44" s="6"/>
      <c r="B44" s="6"/>
      <c r="C44" s="6"/>
      <c r="L44" s="6"/>
      <c r="M44" s="6"/>
      <c r="N44" s="6"/>
    </row>
    <row r="45" spans="1:14" x14ac:dyDescent="0.25">
      <c r="A45" s="6"/>
      <c r="B45" s="6"/>
      <c r="C45" s="6"/>
      <c r="L45" s="6"/>
      <c r="M45" s="6"/>
      <c r="N45" s="6"/>
    </row>
    <row r="46" spans="1:14" x14ac:dyDescent="0.25">
      <c r="A46" s="6"/>
      <c r="B46" s="6"/>
      <c r="C46" s="6"/>
      <c r="L46" s="6"/>
      <c r="M46" s="6"/>
      <c r="N46" s="6"/>
    </row>
    <row r="47" spans="1:14" x14ac:dyDescent="0.25">
      <c r="A47" s="6"/>
      <c r="B47" s="6"/>
      <c r="C47" s="6"/>
      <c r="L47" s="6"/>
      <c r="M47" s="6"/>
      <c r="N47" s="6"/>
    </row>
    <row r="48" spans="1:14" x14ac:dyDescent="0.25">
      <c r="A48" s="6"/>
      <c r="B48" s="6"/>
      <c r="C48" s="6"/>
      <c r="L48" s="6"/>
      <c r="M48" s="6"/>
      <c r="N48" s="6"/>
    </row>
    <row r="49" spans="1:14" x14ac:dyDescent="0.25">
      <c r="A49" s="6"/>
      <c r="B49" s="6"/>
      <c r="C49" s="6"/>
      <c r="L49" s="6"/>
      <c r="M49" s="6"/>
      <c r="N49" s="6"/>
    </row>
    <row r="50" spans="1:14" x14ac:dyDescent="0.25">
      <c r="A50" s="6"/>
      <c r="B50" s="6"/>
      <c r="C50" s="6"/>
      <c r="L50" s="6"/>
      <c r="M50" s="6"/>
      <c r="N50" s="6"/>
    </row>
    <row r="51" spans="1:14" x14ac:dyDescent="0.25">
      <c r="A51" s="6"/>
      <c r="B51" s="6"/>
      <c r="C51" s="6"/>
      <c r="L51" s="6"/>
      <c r="M51" s="6"/>
      <c r="N51" s="6"/>
    </row>
    <row r="52" spans="1:14" x14ac:dyDescent="0.25">
      <c r="A52" s="6"/>
      <c r="B52" s="6"/>
      <c r="C52" s="6"/>
      <c r="L52" s="6"/>
      <c r="M52" s="6"/>
      <c r="N52" s="6"/>
    </row>
    <row r="53" spans="1:14" x14ac:dyDescent="0.25">
      <c r="A53" s="6"/>
      <c r="B53" s="6"/>
      <c r="C53" s="6"/>
      <c r="L53" s="6"/>
      <c r="M53" s="6"/>
      <c r="N53" s="6"/>
    </row>
    <row r="54" spans="1:14" x14ac:dyDescent="0.25">
      <c r="A54" s="6"/>
      <c r="B54" s="6"/>
      <c r="C54" s="6"/>
      <c r="L54" s="6"/>
      <c r="M54" s="6"/>
      <c r="N54" s="6"/>
    </row>
    <row r="55" spans="1:14" x14ac:dyDescent="0.25">
      <c r="A55" s="6"/>
      <c r="B55" s="6"/>
      <c r="C55" s="6"/>
      <c r="L55" s="6"/>
      <c r="M55" s="6"/>
      <c r="N55" s="6"/>
    </row>
    <row r="56" spans="1:14" x14ac:dyDescent="0.25">
      <c r="A56" s="6"/>
      <c r="B56" s="6"/>
      <c r="C56" s="6"/>
      <c r="L56" s="6"/>
      <c r="M56" s="6"/>
      <c r="N56" s="6"/>
    </row>
    <row r="57" spans="1:14" x14ac:dyDescent="0.25">
      <c r="A57" s="6"/>
      <c r="B57" s="6"/>
      <c r="C57" s="6"/>
      <c r="L57" s="6"/>
      <c r="M57" s="6"/>
      <c r="N57" s="6"/>
    </row>
    <row r="58" spans="1:14" x14ac:dyDescent="0.25">
      <c r="A58" s="6"/>
      <c r="B58" s="6"/>
      <c r="C58" s="6"/>
      <c r="L58" s="6"/>
      <c r="M58" s="6"/>
      <c r="N58" s="6"/>
    </row>
    <row r="59" spans="1:14" x14ac:dyDescent="0.25">
      <c r="A59" s="6"/>
      <c r="B59" s="6"/>
      <c r="C59" s="6"/>
      <c r="L59" s="6"/>
      <c r="M59" s="6"/>
      <c r="N59" s="6"/>
    </row>
    <row r="60" spans="1:14" x14ac:dyDescent="0.25">
      <c r="A60" s="6"/>
      <c r="B60" s="6"/>
      <c r="C60" s="6"/>
      <c r="L60" s="6"/>
      <c r="M60" s="6"/>
      <c r="N60" s="6"/>
    </row>
    <row r="61" spans="1:14" x14ac:dyDescent="0.25">
      <c r="A61" s="6"/>
      <c r="B61" s="6"/>
      <c r="C61" s="6"/>
      <c r="L61" s="6"/>
      <c r="M61" s="6"/>
      <c r="N61" s="6"/>
    </row>
    <row r="62" spans="1:14" x14ac:dyDescent="0.25">
      <c r="A62" s="6"/>
      <c r="B62" s="6"/>
      <c r="C62" s="6"/>
      <c r="L62" s="6"/>
      <c r="M62" s="6"/>
      <c r="N62" s="6"/>
    </row>
    <row r="63" spans="1:14" x14ac:dyDescent="0.25">
      <c r="A63" s="6"/>
      <c r="B63" s="6"/>
      <c r="C63" s="6"/>
      <c r="L63" s="6"/>
      <c r="M63" s="6"/>
      <c r="N63" s="6"/>
    </row>
    <row r="64" spans="1:14" x14ac:dyDescent="0.25">
      <c r="A64" s="6"/>
      <c r="B64" s="6"/>
      <c r="C64" s="6"/>
      <c r="L64" s="6"/>
      <c r="M64" s="6"/>
      <c r="N64" s="6"/>
    </row>
    <row r="65" spans="1:14" x14ac:dyDescent="0.25">
      <c r="A65" s="6"/>
      <c r="B65" s="6"/>
      <c r="C65" s="6"/>
      <c r="L65" s="6"/>
      <c r="M65" s="6"/>
      <c r="N65" s="6"/>
    </row>
    <row r="66" spans="1:14" x14ac:dyDescent="0.25">
      <c r="A66" s="6"/>
      <c r="B66" s="6"/>
      <c r="C66" s="6"/>
      <c r="L66" s="6"/>
      <c r="M66" s="6"/>
      <c r="N66" s="6"/>
    </row>
    <row r="67" spans="1:14" x14ac:dyDescent="0.25">
      <c r="A67" s="6"/>
      <c r="B67" s="6"/>
      <c r="C67" s="6"/>
      <c r="L67" s="6"/>
      <c r="M67" s="6"/>
      <c r="N67" s="6"/>
    </row>
    <row r="68" spans="1:14" x14ac:dyDescent="0.25">
      <c r="A68" s="6"/>
      <c r="B68" s="6"/>
      <c r="C68" s="6"/>
      <c r="L68" s="6"/>
      <c r="M68" s="6"/>
      <c r="N68" s="6"/>
    </row>
    <row r="69" spans="1:14" x14ac:dyDescent="0.25">
      <c r="A69" s="6"/>
      <c r="B69" s="6"/>
      <c r="C69" s="6"/>
      <c r="L69" s="6"/>
      <c r="M69" s="6"/>
      <c r="N69" s="6"/>
    </row>
    <row r="70" spans="1:14" x14ac:dyDescent="0.25">
      <c r="A70" s="6"/>
      <c r="B70" s="6"/>
      <c r="C70" s="6"/>
      <c r="L70" s="6"/>
      <c r="M70" s="6"/>
      <c r="N70" s="6"/>
    </row>
    <row r="71" spans="1:14" x14ac:dyDescent="0.25">
      <c r="A71" s="6"/>
      <c r="B71" s="6"/>
      <c r="C71" s="6"/>
      <c r="L71" s="6"/>
      <c r="M71" s="6"/>
      <c r="N71" s="6"/>
    </row>
    <row r="72" spans="1:14" x14ac:dyDescent="0.25">
      <c r="A72" s="6"/>
      <c r="B72" s="6"/>
      <c r="C72" s="6"/>
      <c r="L72" s="6"/>
      <c r="M72" s="6"/>
      <c r="N72" s="6"/>
    </row>
    <row r="73" spans="1:14" x14ac:dyDescent="0.25">
      <c r="A73" s="6"/>
      <c r="B73" s="6"/>
      <c r="C73" s="6"/>
      <c r="L73" s="6"/>
      <c r="M73" s="6"/>
      <c r="N73" s="6"/>
    </row>
    <row r="74" spans="1:14" x14ac:dyDescent="0.25">
      <c r="A74" s="6"/>
      <c r="B74" s="6"/>
      <c r="C74" s="6"/>
      <c r="L74" s="6"/>
      <c r="M74" s="6"/>
      <c r="N74" s="6"/>
    </row>
    <row r="75" spans="1:14" x14ac:dyDescent="0.25">
      <c r="A75" s="6"/>
      <c r="B75" s="6"/>
      <c r="C75" s="6"/>
      <c r="L75" s="6"/>
      <c r="M75" s="6"/>
      <c r="N75" s="6"/>
    </row>
    <row r="76" spans="1:14" x14ac:dyDescent="0.25">
      <c r="A76" s="6"/>
      <c r="B76" s="6"/>
      <c r="C76" s="6"/>
      <c r="L76" s="6"/>
      <c r="M76" s="6"/>
      <c r="N76" s="6"/>
    </row>
    <row r="77" spans="1:14" x14ac:dyDescent="0.25">
      <c r="A77" s="6"/>
      <c r="B77" s="6"/>
      <c r="C77" s="6"/>
      <c r="L77" s="6"/>
      <c r="M77" s="6"/>
      <c r="N77" s="6"/>
    </row>
    <row r="78" spans="1:14" x14ac:dyDescent="0.25">
      <c r="A78" s="6"/>
      <c r="B78" s="6"/>
      <c r="C78" s="6"/>
      <c r="L78" s="6"/>
      <c r="M78" s="6"/>
      <c r="N78" s="6"/>
    </row>
    <row r="79" spans="1:14" x14ac:dyDescent="0.25">
      <c r="A79" s="6"/>
      <c r="B79" s="6"/>
      <c r="C79" s="6"/>
      <c r="L79" s="6"/>
      <c r="M79" s="6"/>
      <c r="N79" s="6"/>
    </row>
    <row r="80" spans="1:14" x14ac:dyDescent="0.25">
      <c r="A80" s="6"/>
      <c r="B80" s="6"/>
      <c r="C80" s="6"/>
      <c r="L80" s="6"/>
      <c r="M80" s="6"/>
      <c r="N80" s="6"/>
    </row>
    <row r="81" spans="1:14" x14ac:dyDescent="0.25">
      <c r="A81" s="6"/>
      <c r="B81" s="6"/>
      <c r="C81" s="6"/>
      <c r="L81" s="6"/>
      <c r="M81" s="6"/>
      <c r="N81" s="6"/>
    </row>
    <row r="82" spans="1:14" x14ac:dyDescent="0.25">
      <c r="A82" s="6"/>
      <c r="B82" s="6"/>
      <c r="C82" s="6"/>
      <c r="L82" s="6"/>
      <c r="M82" s="6"/>
      <c r="N82" s="6"/>
    </row>
    <row r="83" spans="1:14" x14ac:dyDescent="0.25">
      <c r="A83" s="6"/>
      <c r="B83" s="6"/>
      <c r="C83" s="6"/>
      <c r="L83" s="6"/>
      <c r="M83" s="6"/>
      <c r="N83" s="6"/>
    </row>
    <row r="84" spans="1:14" x14ac:dyDescent="0.25">
      <c r="A84" s="6"/>
      <c r="B84" s="6"/>
      <c r="C84" s="6"/>
      <c r="L84" s="6"/>
      <c r="M84" s="6"/>
      <c r="N84" s="6"/>
    </row>
    <row r="85" spans="1:14" x14ac:dyDescent="0.25">
      <c r="A85" s="6"/>
      <c r="B85" s="6"/>
      <c r="C85" s="6"/>
      <c r="L85" s="6"/>
      <c r="M85" s="6"/>
      <c r="N85" s="6"/>
    </row>
    <row r="86" spans="1:14" x14ac:dyDescent="0.25">
      <c r="A86" s="6"/>
      <c r="B86" s="6"/>
      <c r="C86" s="6"/>
      <c r="L86" s="6"/>
      <c r="M86" s="6"/>
      <c r="N86" s="6"/>
    </row>
    <row r="87" spans="1:14" x14ac:dyDescent="0.25">
      <c r="A87" s="6"/>
      <c r="B87" s="6"/>
      <c r="C87" s="6"/>
      <c r="L87" s="6"/>
      <c r="M87" s="6"/>
      <c r="N87" s="6"/>
    </row>
    <row r="88" spans="1:14" x14ac:dyDescent="0.25">
      <c r="A88" s="6"/>
      <c r="B88" s="6"/>
      <c r="C88" s="6"/>
      <c r="L88" s="6"/>
      <c r="M88" s="6"/>
      <c r="N88" s="6"/>
    </row>
    <row r="89" spans="1:14" x14ac:dyDescent="0.25">
      <c r="A89" s="6"/>
      <c r="B89" s="6"/>
      <c r="C89" s="6"/>
      <c r="L89" s="6"/>
      <c r="M89" s="6"/>
      <c r="N89" s="6"/>
    </row>
    <row r="90" spans="1:14" x14ac:dyDescent="0.25">
      <c r="A90" s="6"/>
      <c r="B90" s="6"/>
      <c r="C90" s="6"/>
      <c r="L90" s="6"/>
      <c r="M90" s="6"/>
      <c r="N90" s="6"/>
    </row>
    <row r="91" spans="1:14" x14ac:dyDescent="0.25">
      <c r="A91" s="6"/>
      <c r="B91" s="6"/>
      <c r="C91" s="6"/>
      <c r="L91" s="6"/>
      <c r="M91" s="6"/>
      <c r="N91" s="6"/>
    </row>
    <row r="92" spans="1:14" x14ac:dyDescent="0.25">
      <c r="A92" s="6"/>
      <c r="B92" s="6"/>
      <c r="C92" s="6"/>
      <c r="L92" s="6"/>
      <c r="M92" s="6"/>
      <c r="N92" s="6"/>
    </row>
    <row r="93" spans="1:14" x14ac:dyDescent="0.25">
      <c r="A93" s="6"/>
      <c r="B93" s="6"/>
      <c r="C93" s="6"/>
      <c r="L93" s="6"/>
      <c r="M93" s="6"/>
      <c r="N93" s="6"/>
    </row>
    <row r="94" spans="1:14" x14ac:dyDescent="0.25">
      <c r="A94" s="6"/>
      <c r="B94" s="6"/>
      <c r="C94" s="6"/>
      <c r="L94" s="6"/>
      <c r="M94" s="6"/>
      <c r="N94" s="6"/>
    </row>
    <row r="95" spans="1:14" x14ac:dyDescent="0.25">
      <c r="A95" s="6"/>
      <c r="B95" s="6"/>
      <c r="C95" s="6"/>
      <c r="L95" s="6"/>
      <c r="M95" s="6"/>
      <c r="N95" s="6"/>
    </row>
    <row r="96" spans="1:14" x14ac:dyDescent="0.25">
      <c r="A96" s="6"/>
      <c r="B96" s="6"/>
      <c r="C96" s="6"/>
      <c r="L96" s="6"/>
      <c r="M96" s="6"/>
      <c r="N96" s="6"/>
    </row>
    <row r="97" spans="1:14" x14ac:dyDescent="0.25">
      <c r="A97" s="6"/>
      <c r="B97" s="6"/>
      <c r="C97" s="6"/>
      <c r="L97" s="6"/>
      <c r="M97" s="6"/>
      <c r="N97" s="6"/>
    </row>
    <row r="98" spans="1:14" x14ac:dyDescent="0.25">
      <c r="A98" s="6"/>
      <c r="B98" s="6"/>
      <c r="C98" s="6"/>
      <c r="L98" s="6"/>
      <c r="M98" s="6"/>
      <c r="N98" s="6"/>
    </row>
    <row r="99" spans="1:14" x14ac:dyDescent="0.25">
      <c r="A99" s="6"/>
      <c r="B99" s="6"/>
      <c r="C99" s="6"/>
      <c r="L99" s="6"/>
      <c r="M99" s="6"/>
      <c r="N99" s="6"/>
    </row>
    <row r="100" spans="1:14" x14ac:dyDescent="0.25">
      <c r="A100" s="6"/>
      <c r="B100" s="6"/>
      <c r="C100" s="6"/>
      <c r="L100" s="6"/>
      <c r="M100" s="6"/>
      <c r="N100" s="6"/>
    </row>
    <row r="101" spans="1:14" x14ac:dyDescent="0.25">
      <c r="A101" s="6"/>
      <c r="B101" s="6"/>
      <c r="C101" s="6"/>
      <c r="L101" s="6"/>
      <c r="M101" s="6"/>
      <c r="N101" s="6"/>
    </row>
    <row r="102" spans="1:14" x14ac:dyDescent="0.25">
      <c r="A102" s="6"/>
      <c r="B102" s="6"/>
      <c r="C102" s="6"/>
      <c r="L102" s="6"/>
      <c r="M102" s="6"/>
      <c r="N102" s="6"/>
    </row>
    <row r="103" spans="1:14" x14ac:dyDescent="0.25">
      <c r="A103" s="6"/>
      <c r="B103" s="6"/>
      <c r="C103" s="6"/>
      <c r="L103" s="6"/>
      <c r="M103" s="6"/>
      <c r="N103" s="6"/>
    </row>
    <row r="104" spans="1:14" x14ac:dyDescent="0.25">
      <c r="A104" s="6"/>
      <c r="B104" s="6"/>
      <c r="C104" s="6"/>
      <c r="L104" s="6"/>
      <c r="M104" s="6"/>
      <c r="N104" s="6"/>
    </row>
    <row r="105" spans="1:14" x14ac:dyDescent="0.25">
      <c r="A105" s="6"/>
      <c r="B105" s="6"/>
      <c r="C105" s="6"/>
      <c r="L105" s="6"/>
      <c r="M105" s="6"/>
      <c r="N105" s="6"/>
    </row>
    <row r="106" spans="1:14" x14ac:dyDescent="0.25">
      <c r="A106" s="6"/>
      <c r="B106" s="6"/>
      <c r="C106" s="6"/>
      <c r="L106" s="6"/>
      <c r="M106" s="6"/>
      <c r="N106" s="6"/>
    </row>
    <row r="107" spans="1:14" x14ac:dyDescent="0.25">
      <c r="A107" s="6"/>
      <c r="B107" s="6"/>
      <c r="C107" s="6"/>
      <c r="L107" s="6"/>
      <c r="M107" s="6"/>
      <c r="N107" s="6"/>
    </row>
    <row r="108" spans="1:14" x14ac:dyDescent="0.25">
      <c r="A108" s="6"/>
      <c r="B108" s="6"/>
      <c r="C108" s="6"/>
      <c r="L108" s="6"/>
      <c r="M108" s="6"/>
      <c r="N108" s="6"/>
    </row>
    <row r="109" spans="1:14" x14ac:dyDescent="0.25">
      <c r="A109" s="6"/>
      <c r="B109" s="6"/>
      <c r="C109" s="6"/>
      <c r="L109" s="6"/>
      <c r="M109" s="6"/>
      <c r="N109" s="6"/>
    </row>
    <row r="110" spans="1:14" x14ac:dyDescent="0.25">
      <c r="A110" s="6"/>
      <c r="B110" s="6"/>
      <c r="C110" s="6"/>
      <c r="L110" s="6"/>
      <c r="M110" s="6"/>
      <c r="N110" s="6"/>
    </row>
    <row r="111" spans="1:14" x14ac:dyDescent="0.25">
      <c r="A111" s="6"/>
      <c r="B111" s="6"/>
      <c r="C111" s="6"/>
      <c r="L111" s="6"/>
      <c r="M111" s="6"/>
      <c r="N111" s="6"/>
    </row>
    <row r="112" spans="1:14" x14ac:dyDescent="0.25">
      <c r="A112" s="6"/>
      <c r="B112" s="6"/>
      <c r="C112" s="6"/>
      <c r="L112" s="6"/>
      <c r="M112" s="6"/>
      <c r="N112" s="6"/>
    </row>
    <row r="113" spans="1:14" x14ac:dyDescent="0.25">
      <c r="A113" s="6"/>
      <c r="B113" s="6"/>
      <c r="C113" s="6"/>
      <c r="L113" s="6"/>
      <c r="M113" s="6"/>
      <c r="N113" s="6"/>
    </row>
    <row r="114" spans="1:14" x14ac:dyDescent="0.25">
      <c r="A114" s="6"/>
      <c r="B114" s="6"/>
      <c r="C114" s="6"/>
      <c r="L114" s="6"/>
      <c r="M114" s="6"/>
      <c r="N114" s="6"/>
    </row>
    <row r="115" spans="1:14" x14ac:dyDescent="0.25">
      <c r="A115" s="6"/>
      <c r="B115" s="6"/>
      <c r="C115" s="6"/>
      <c r="L115" s="6"/>
      <c r="M115" s="6"/>
      <c r="N115" s="6"/>
    </row>
    <row r="116" spans="1:14" x14ac:dyDescent="0.25">
      <c r="A116" s="6"/>
      <c r="B116" s="6"/>
      <c r="C116" s="6"/>
      <c r="L116" s="6"/>
      <c r="M116" s="6"/>
      <c r="N116" s="6"/>
    </row>
    <row r="117" spans="1:14" x14ac:dyDescent="0.25">
      <c r="A117" s="6"/>
      <c r="B117" s="6"/>
      <c r="C117" s="6"/>
      <c r="L117" s="6"/>
      <c r="M117" s="6"/>
      <c r="N117" s="6"/>
    </row>
    <row r="118" spans="1:14" x14ac:dyDescent="0.25">
      <c r="A118" s="6"/>
      <c r="B118" s="6"/>
      <c r="C118" s="6"/>
      <c r="L118" s="6"/>
      <c r="M118" s="6"/>
      <c r="N118" s="6"/>
    </row>
    <row r="119" spans="1:14" x14ac:dyDescent="0.25">
      <c r="A119" s="6"/>
      <c r="B119" s="6"/>
      <c r="C119" s="6"/>
      <c r="L119" s="6"/>
      <c r="M119" s="6"/>
      <c r="N119" s="6"/>
    </row>
    <row r="120" spans="1:14" x14ac:dyDescent="0.25">
      <c r="A120" s="6"/>
      <c r="B120" s="6"/>
      <c r="C120" s="6"/>
      <c r="L120" s="6"/>
      <c r="M120" s="6"/>
      <c r="N120" s="6"/>
    </row>
    <row r="121" spans="1:14" x14ac:dyDescent="0.25">
      <c r="A121" s="6"/>
      <c r="B121" s="6"/>
      <c r="C121" s="6"/>
      <c r="L121" s="6"/>
      <c r="M121" s="6"/>
      <c r="N121" s="6"/>
    </row>
    <row r="122" spans="1:14" x14ac:dyDescent="0.25">
      <c r="A122" s="6"/>
      <c r="B122" s="6"/>
      <c r="C122" s="6"/>
      <c r="L122" s="6"/>
      <c r="M122" s="6"/>
      <c r="N122" s="6"/>
    </row>
    <row r="123" spans="1:14" x14ac:dyDescent="0.25">
      <c r="A123" s="6"/>
      <c r="B123" s="6"/>
      <c r="C123" s="6"/>
      <c r="L123" s="6"/>
      <c r="M123" s="6"/>
      <c r="N123" s="6"/>
    </row>
    <row r="124" spans="1:14" x14ac:dyDescent="0.25">
      <c r="A124" s="6"/>
      <c r="B124" s="6"/>
      <c r="C124" s="6"/>
      <c r="L124" s="6"/>
      <c r="M124" s="6"/>
      <c r="N124" s="6"/>
    </row>
    <row r="125" spans="1:14" x14ac:dyDescent="0.25">
      <c r="A125" s="6"/>
      <c r="B125" s="6"/>
      <c r="C125" s="6"/>
      <c r="L125" s="6"/>
      <c r="M125" s="6"/>
      <c r="N125" s="6"/>
    </row>
    <row r="126" spans="1:14" x14ac:dyDescent="0.25">
      <c r="A126" s="6"/>
      <c r="B126" s="6"/>
      <c r="C126" s="6"/>
      <c r="L126" s="6"/>
      <c r="M126" s="6"/>
      <c r="N126" s="6"/>
    </row>
    <row r="127" spans="1:14" x14ac:dyDescent="0.25">
      <c r="A127" s="6"/>
      <c r="B127" s="6"/>
      <c r="C127" s="6"/>
      <c r="L127" s="6"/>
      <c r="M127" s="6"/>
      <c r="N127" s="6"/>
    </row>
    <row r="128" spans="1:14" x14ac:dyDescent="0.25">
      <c r="A128" s="6"/>
      <c r="B128" s="6"/>
      <c r="C128" s="6"/>
      <c r="L128" s="6"/>
      <c r="M128" s="6"/>
      <c r="N128" s="6"/>
    </row>
    <row r="129" spans="1:14" x14ac:dyDescent="0.25">
      <c r="A129" s="6"/>
      <c r="B129" s="6"/>
      <c r="C129" s="6"/>
      <c r="L129" s="6"/>
      <c r="M129" s="6"/>
      <c r="N129" s="6"/>
    </row>
    <row r="130" spans="1:14" x14ac:dyDescent="0.25">
      <c r="A130" s="6"/>
      <c r="B130" s="6"/>
      <c r="C130" s="6"/>
      <c r="L130" s="6"/>
      <c r="M130" s="6"/>
      <c r="N130" s="6"/>
    </row>
    <row r="131" spans="1:14" x14ac:dyDescent="0.25">
      <c r="A131" s="6"/>
      <c r="B131" s="6"/>
      <c r="C131" s="6"/>
      <c r="L131" s="6"/>
      <c r="M131" s="6"/>
      <c r="N131" s="6"/>
    </row>
    <row r="132" spans="1:14" x14ac:dyDescent="0.25">
      <c r="A132" s="6"/>
      <c r="B132" s="6"/>
      <c r="C132" s="6"/>
      <c r="L132" s="6"/>
      <c r="M132" s="6"/>
      <c r="N132" s="6"/>
    </row>
    <row r="133" spans="1:14" x14ac:dyDescent="0.25">
      <c r="A133" s="6"/>
      <c r="B133" s="6"/>
      <c r="C133" s="6"/>
      <c r="L133" s="6"/>
      <c r="M133" s="6"/>
      <c r="N133" s="6"/>
    </row>
    <row r="134" spans="1:14" x14ac:dyDescent="0.25">
      <c r="A134" s="6"/>
      <c r="B134" s="6"/>
      <c r="C134" s="6"/>
      <c r="L134" s="6"/>
      <c r="M134" s="6"/>
      <c r="N134" s="6"/>
    </row>
    <row r="135" spans="1:14" x14ac:dyDescent="0.25">
      <c r="A135" s="6"/>
      <c r="B135" s="6"/>
      <c r="C135" s="6"/>
      <c r="L135" s="6"/>
      <c r="M135" s="6"/>
      <c r="N135" s="6"/>
    </row>
    <row r="136" spans="1:14" x14ac:dyDescent="0.25">
      <c r="A136" s="6"/>
      <c r="B136" s="6"/>
      <c r="C136" s="6"/>
      <c r="L136" s="6"/>
      <c r="M136" s="6"/>
      <c r="N136" s="6"/>
    </row>
    <row r="137" spans="1:14" x14ac:dyDescent="0.25">
      <c r="A137" s="6"/>
      <c r="B137" s="6"/>
      <c r="C137" s="6"/>
      <c r="L137" s="6"/>
      <c r="M137" s="6"/>
      <c r="N137" s="6"/>
    </row>
    <row r="138" spans="1:14" x14ac:dyDescent="0.25">
      <c r="A138" s="6"/>
      <c r="B138" s="6"/>
      <c r="C138" s="6"/>
      <c r="L138" s="6"/>
      <c r="M138" s="6"/>
      <c r="N138" s="6"/>
    </row>
    <row r="139" spans="1:14" x14ac:dyDescent="0.25">
      <c r="A139" s="6"/>
      <c r="B139" s="6"/>
      <c r="C139" s="6"/>
      <c r="L139" s="6"/>
      <c r="M139" s="6"/>
      <c r="N139" s="6"/>
    </row>
    <row r="140" spans="1:14" x14ac:dyDescent="0.25">
      <c r="A140" s="6"/>
      <c r="B140" s="6"/>
      <c r="C140" s="6"/>
      <c r="L140" s="6"/>
      <c r="M140" s="6"/>
      <c r="N140" s="6"/>
    </row>
    <row r="141" spans="1:14" x14ac:dyDescent="0.25">
      <c r="A141" s="6"/>
      <c r="B141" s="6"/>
      <c r="C141" s="6"/>
      <c r="L141" s="6"/>
      <c r="M141" s="6"/>
      <c r="N141" s="6"/>
    </row>
    <row r="142" spans="1:14" x14ac:dyDescent="0.25">
      <c r="A142" s="6"/>
      <c r="B142" s="6"/>
      <c r="C142" s="6"/>
      <c r="L142" s="6"/>
      <c r="M142" s="6"/>
      <c r="N142" s="6"/>
    </row>
    <row r="143" spans="1:14" x14ac:dyDescent="0.25">
      <c r="A143" s="6"/>
      <c r="B143" s="6"/>
      <c r="C143" s="6"/>
      <c r="L143" s="6"/>
      <c r="M143" s="6"/>
      <c r="N143" s="6"/>
    </row>
    <row r="144" spans="1:14" x14ac:dyDescent="0.25">
      <c r="A144" s="6"/>
      <c r="B144" s="6"/>
      <c r="C144" s="6"/>
      <c r="L144" s="6"/>
      <c r="M144" s="6"/>
      <c r="N144" s="6"/>
    </row>
    <row r="145" spans="1:14" x14ac:dyDescent="0.25">
      <c r="A145" s="6"/>
      <c r="B145" s="6"/>
      <c r="C145" s="6"/>
      <c r="L145" s="6"/>
      <c r="M145" s="6"/>
      <c r="N145" s="6"/>
    </row>
    <row r="146" spans="1:14" x14ac:dyDescent="0.25">
      <c r="A146" s="6"/>
      <c r="B146" s="6"/>
      <c r="C146" s="6"/>
      <c r="L146" s="6"/>
      <c r="M146" s="6"/>
      <c r="N146" s="6"/>
    </row>
    <row r="147" spans="1:14" x14ac:dyDescent="0.25">
      <c r="A147" s="6"/>
      <c r="B147" s="6"/>
      <c r="C147" s="6"/>
      <c r="L147" s="6"/>
      <c r="M147" s="6"/>
      <c r="N147" s="6"/>
    </row>
    <row r="148" spans="1:14" x14ac:dyDescent="0.25">
      <c r="A148" s="6"/>
      <c r="B148" s="6"/>
      <c r="C148" s="6"/>
      <c r="L148" s="6"/>
      <c r="M148" s="6"/>
      <c r="N148" s="6"/>
    </row>
    <row r="149" spans="1:14" x14ac:dyDescent="0.25">
      <c r="A149" s="6"/>
      <c r="B149" s="6"/>
      <c r="C149" s="6"/>
      <c r="L149" s="6"/>
      <c r="M149" s="6"/>
      <c r="N149" s="6"/>
    </row>
    <row r="150" spans="1:14" x14ac:dyDescent="0.25">
      <c r="A150" s="6"/>
      <c r="B150" s="6"/>
      <c r="C150" s="6"/>
      <c r="L150" s="6"/>
      <c r="M150" s="6"/>
      <c r="N150" s="6"/>
    </row>
    <row r="151" spans="1:14" x14ac:dyDescent="0.25">
      <c r="A151" s="6"/>
      <c r="B151" s="6"/>
      <c r="C151" s="6"/>
      <c r="L151" s="6"/>
      <c r="M151" s="6"/>
      <c r="N151" s="6"/>
    </row>
    <row r="152" spans="1:14" x14ac:dyDescent="0.25">
      <c r="A152" s="6"/>
      <c r="B152" s="6"/>
      <c r="C152" s="6"/>
      <c r="L152" s="6"/>
      <c r="M152" s="6"/>
      <c r="N152" s="6"/>
    </row>
    <row r="153" spans="1:14" x14ac:dyDescent="0.25">
      <c r="A153" s="6"/>
      <c r="B153" s="6"/>
      <c r="C153" s="6"/>
      <c r="L153" s="6"/>
      <c r="M153" s="6"/>
      <c r="N153" s="6"/>
    </row>
    <row r="154" spans="1:14" x14ac:dyDescent="0.25">
      <c r="A154" s="6"/>
      <c r="B154" s="6"/>
      <c r="C154" s="6"/>
      <c r="L154" s="6"/>
      <c r="M154" s="6"/>
      <c r="N154" s="6"/>
    </row>
    <row r="155" spans="1:14" x14ac:dyDescent="0.25">
      <c r="A155" s="6"/>
      <c r="B155" s="6"/>
      <c r="C155" s="6"/>
      <c r="L155" s="6"/>
      <c r="M155" s="6"/>
      <c r="N155" s="6"/>
    </row>
    <row r="156" spans="1:14" x14ac:dyDescent="0.25">
      <c r="A156" s="6"/>
      <c r="B156" s="6"/>
      <c r="C156" s="6"/>
      <c r="L156" s="6"/>
      <c r="M156" s="6"/>
      <c r="N156" s="6"/>
    </row>
    <row r="157" spans="1:14" x14ac:dyDescent="0.25">
      <c r="A157" s="6"/>
      <c r="B157" s="6"/>
      <c r="C157" s="6"/>
      <c r="L157" s="6"/>
      <c r="M157" s="6"/>
      <c r="N157" s="6"/>
    </row>
    <row r="158" spans="1:14" x14ac:dyDescent="0.25">
      <c r="A158" s="6"/>
      <c r="B158" s="6"/>
      <c r="C158" s="6"/>
      <c r="L158" s="6"/>
      <c r="M158" s="6"/>
      <c r="N158" s="6"/>
    </row>
    <row r="159" spans="1:14" x14ac:dyDescent="0.25">
      <c r="A159" s="6"/>
      <c r="B159" s="6"/>
      <c r="C159" s="6"/>
      <c r="L159" s="6"/>
      <c r="M159" s="6"/>
      <c r="N159" s="6"/>
    </row>
    <row r="160" spans="1:14" x14ac:dyDescent="0.25">
      <c r="A160" s="6"/>
      <c r="B160" s="6"/>
      <c r="C160" s="6"/>
      <c r="L160" s="6"/>
      <c r="M160" s="6"/>
      <c r="N160" s="6"/>
    </row>
    <row r="161" spans="1:14" x14ac:dyDescent="0.25">
      <c r="A161" s="6"/>
      <c r="B161" s="6"/>
      <c r="C161" s="6"/>
      <c r="L161" s="6"/>
      <c r="M161" s="6"/>
      <c r="N161" s="6"/>
    </row>
    <row r="162" spans="1:14" x14ac:dyDescent="0.25">
      <c r="A162" s="6"/>
      <c r="B162" s="6"/>
      <c r="C162" s="6"/>
      <c r="L162" s="6"/>
      <c r="M162" s="6"/>
      <c r="N162" s="6"/>
    </row>
    <row r="163" spans="1:14" x14ac:dyDescent="0.25">
      <c r="A163" s="6"/>
      <c r="B163" s="6"/>
      <c r="C163" s="6"/>
      <c r="L163" s="6"/>
      <c r="M163" s="6"/>
      <c r="N163" s="6"/>
    </row>
    <row r="164" spans="1:14" x14ac:dyDescent="0.25">
      <c r="A164" s="6"/>
      <c r="B164" s="6"/>
      <c r="C164" s="6"/>
      <c r="L164" s="6"/>
      <c r="M164" s="6"/>
      <c r="N164" s="6"/>
    </row>
    <row r="165" spans="1:14" x14ac:dyDescent="0.25">
      <c r="A165" s="6"/>
      <c r="B165" s="6"/>
      <c r="C165" s="6"/>
      <c r="L165" s="6"/>
      <c r="M165" s="6"/>
      <c r="N165" s="6"/>
    </row>
    <row r="166" spans="1:14" x14ac:dyDescent="0.25">
      <c r="A166" s="6"/>
      <c r="B166" s="6"/>
      <c r="C166" s="6"/>
      <c r="L166" s="6"/>
      <c r="M166" s="6"/>
      <c r="N166" s="6"/>
    </row>
    <row r="167" spans="1:14" x14ac:dyDescent="0.25">
      <c r="A167" s="6"/>
      <c r="B167" s="6"/>
      <c r="C167" s="6"/>
      <c r="L167" s="6"/>
      <c r="M167" s="6"/>
      <c r="N167" s="6"/>
    </row>
    <row r="168" spans="1:14" x14ac:dyDescent="0.25">
      <c r="A168" s="6"/>
      <c r="B168" s="6"/>
      <c r="C168" s="6"/>
      <c r="L168" s="6"/>
      <c r="M168" s="6"/>
      <c r="N168" s="6"/>
    </row>
    <row r="169" spans="1:14" x14ac:dyDescent="0.25">
      <c r="A169" s="6"/>
      <c r="B169" s="6"/>
      <c r="C169" s="6"/>
      <c r="L169" s="6"/>
      <c r="M169" s="6"/>
      <c r="N169" s="6"/>
    </row>
    <row r="170" spans="1:14" x14ac:dyDescent="0.25">
      <c r="A170" s="6"/>
      <c r="B170" s="6"/>
      <c r="C170" s="6"/>
      <c r="L170" s="6"/>
      <c r="M170" s="6"/>
      <c r="N170" s="6"/>
    </row>
    <row r="171" spans="1:14" x14ac:dyDescent="0.25">
      <c r="A171" s="6"/>
      <c r="B171" s="6"/>
      <c r="C171" s="6"/>
      <c r="L171" s="6"/>
      <c r="M171" s="6"/>
      <c r="N171" s="6"/>
    </row>
    <row r="172" spans="1:14" x14ac:dyDescent="0.25">
      <c r="A172" s="6"/>
      <c r="B172" s="6"/>
      <c r="C172" s="6"/>
      <c r="L172" s="6"/>
      <c r="M172" s="6"/>
      <c r="N172" s="6"/>
    </row>
    <row r="173" spans="1:14" x14ac:dyDescent="0.25">
      <c r="A173" s="6"/>
      <c r="B173" s="6"/>
      <c r="C173" s="6"/>
      <c r="L173" s="6"/>
      <c r="M173" s="6"/>
      <c r="N173" s="6"/>
    </row>
    <row r="174" spans="1:14" x14ac:dyDescent="0.25">
      <c r="A174" s="6"/>
      <c r="B174" s="6"/>
      <c r="C174" s="6"/>
      <c r="L174" s="6"/>
      <c r="M174" s="6"/>
      <c r="N174" s="6"/>
    </row>
    <row r="175" spans="1:14" x14ac:dyDescent="0.25">
      <c r="A175" s="6"/>
      <c r="B175" s="6"/>
      <c r="C175" s="6"/>
      <c r="L175" s="6"/>
      <c r="M175" s="6"/>
      <c r="N175" s="6"/>
    </row>
    <row r="176" spans="1:14" x14ac:dyDescent="0.25">
      <c r="A176" s="6"/>
      <c r="B176" s="6"/>
      <c r="C176" s="6"/>
      <c r="L176" s="6"/>
      <c r="M176" s="6"/>
      <c r="N176" s="6"/>
    </row>
    <row r="177" spans="1:14" x14ac:dyDescent="0.25">
      <c r="A177" s="6"/>
      <c r="B177" s="6"/>
      <c r="C177" s="6"/>
      <c r="L177" s="6"/>
      <c r="M177" s="6"/>
      <c r="N177" s="6"/>
    </row>
    <row r="178" spans="1:14" x14ac:dyDescent="0.25">
      <c r="A178" s="6"/>
      <c r="B178" s="6"/>
      <c r="C178" s="6"/>
      <c r="L178" s="6"/>
      <c r="M178" s="6"/>
      <c r="N178" s="6"/>
    </row>
    <row r="179" spans="1:14" x14ac:dyDescent="0.25">
      <c r="A179" s="6"/>
      <c r="B179" s="6"/>
      <c r="C179" s="6"/>
      <c r="L179" s="6"/>
      <c r="M179" s="6"/>
      <c r="N179" s="6"/>
    </row>
    <row r="180" spans="1:14" x14ac:dyDescent="0.25">
      <c r="A180" s="6"/>
      <c r="B180" s="6"/>
      <c r="C180" s="6"/>
      <c r="L180" s="6"/>
      <c r="M180" s="6"/>
      <c r="N180" s="6"/>
    </row>
    <row r="181" spans="1:14" x14ac:dyDescent="0.25">
      <c r="A181" s="6"/>
      <c r="B181" s="6"/>
      <c r="C181" s="6"/>
      <c r="L181" s="6"/>
      <c r="M181" s="6"/>
      <c r="N181" s="6"/>
    </row>
    <row r="182" spans="1:14" x14ac:dyDescent="0.25">
      <c r="A182" s="6"/>
      <c r="B182" s="6"/>
      <c r="C182" s="6"/>
      <c r="L182" s="6"/>
      <c r="M182" s="6"/>
      <c r="N182" s="6"/>
    </row>
    <row r="183" spans="1:14" x14ac:dyDescent="0.25">
      <c r="A183" s="6"/>
      <c r="B183" s="6"/>
      <c r="C183" s="6"/>
      <c r="L183" s="6"/>
      <c r="M183" s="6"/>
      <c r="N183" s="6"/>
    </row>
    <row r="184" spans="1:14" x14ac:dyDescent="0.25">
      <c r="A184" s="6"/>
      <c r="B184" s="6"/>
      <c r="C184" s="6"/>
      <c r="L184" s="6"/>
      <c r="M184" s="6"/>
      <c r="N184" s="6"/>
    </row>
    <row r="185" spans="1:14" x14ac:dyDescent="0.25">
      <c r="A185" s="6"/>
      <c r="B185" s="6"/>
      <c r="C185" s="6"/>
      <c r="L185" s="6"/>
      <c r="M185" s="6"/>
      <c r="N185" s="6"/>
    </row>
    <row r="186" spans="1:14" x14ac:dyDescent="0.25">
      <c r="A186" s="6"/>
      <c r="B186" s="6"/>
      <c r="C186" s="6"/>
      <c r="L186" s="6"/>
      <c r="M186" s="6"/>
      <c r="N186" s="6"/>
    </row>
    <row r="187" spans="1:14" x14ac:dyDescent="0.25">
      <c r="A187" s="6"/>
      <c r="B187" s="6"/>
      <c r="C187" s="6"/>
      <c r="L187" s="6"/>
      <c r="M187" s="6"/>
      <c r="N187" s="6"/>
    </row>
    <row r="188" spans="1:14" x14ac:dyDescent="0.25">
      <c r="A188" s="6"/>
      <c r="B188" s="6"/>
      <c r="C188" s="6"/>
      <c r="L188" s="6"/>
      <c r="M188" s="6"/>
      <c r="N188" s="6"/>
    </row>
    <row r="189" spans="1:14" x14ac:dyDescent="0.25">
      <c r="A189" s="6"/>
      <c r="B189" s="6"/>
      <c r="C189" s="6"/>
      <c r="L189" s="6"/>
      <c r="M189" s="6"/>
      <c r="N189" s="6"/>
    </row>
    <row r="190" spans="1:14" x14ac:dyDescent="0.25">
      <c r="A190" s="6"/>
      <c r="B190" s="6"/>
      <c r="C190" s="6"/>
      <c r="L190" s="6"/>
      <c r="M190" s="6"/>
      <c r="N190" s="6"/>
    </row>
    <row r="191" spans="1:14" x14ac:dyDescent="0.25">
      <c r="A191" s="6"/>
      <c r="B191" s="6"/>
      <c r="C191" s="6"/>
      <c r="L191" s="6"/>
      <c r="M191" s="6"/>
      <c r="N191" s="6"/>
    </row>
    <row r="192" spans="1:14" x14ac:dyDescent="0.25">
      <c r="A192" s="6"/>
      <c r="B192" s="6"/>
      <c r="C192" s="6"/>
      <c r="L192" s="6"/>
      <c r="M192" s="6"/>
      <c r="N192" s="6"/>
    </row>
    <row r="193" spans="1:14" x14ac:dyDescent="0.25">
      <c r="A193" s="6"/>
      <c r="B193" s="6"/>
      <c r="C193" s="6"/>
      <c r="L193" s="6"/>
      <c r="M193" s="6"/>
      <c r="N193" s="6"/>
    </row>
    <row r="194" spans="1:14" x14ac:dyDescent="0.25">
      <c r="A194" s="6"/>
      <c r="B194" s="6"/>
      <c r="C194" s="6"/>
      <c r="L194" s="6"/>
      <c r="M194" s="6"/>
      <c r="N194" s="6"/>
    </row>
    <row r="195" spans="1:14" x14ac:dyDescent="0.25">
      <c r="A195" s="6"/>
      <c r="B195" s="6"/>
      <c r="C195" s="6"/>
      <c r="L195" s="6"/>
      <c r="M195" s="6"/>
      <c r="N195" s="6"/>
    </row>
    <row r="196" spans="1:14" x14ac:dyDescent="0.25">
      <c r="A196" s="6"/>
      <c r="B196" s="6"/>
      <c r="C196" s="6"/>
      <c r="L196" s="6"/>
      <c r="M196" s="6"/>
      <c r="N196" s="6"/>
    </row>
    <row r="197" spans="1:14" x14ac:dyDescent="0.25">
      <c r="A197" s="6"/>
      <c r="B197" s="6"/>
      <c r="C197" s="6"/>
      <c r="L197" s="6"/>
      <c r="M197" s="6"/>
      <c r="N197" s="6"/>
    </row>
    <row r="198" spans="1:14" x14ac:dyDescent="0.25">
      <c r="A198" s="6"/>
      <c r="B198" s="6"/>
      <c r="C198" s="6"/>
      <c r="L198" s="6"/>
      <c r="M198" s="6"/>
      <c r="N198" s="6"/>
    </row>
    <row r="199" spans="1:14" x14ac:dyDescent="0.25">
      <c r="A199" s="6"/>
      <c r="B199" s="6"/>
      <c r="C199" s="6"/>
      <c r="L199" s="6"/>
      <c r="M199" s="6"/>
      <c r="N199" s="6"/>
    </row>
    <row r="200" spans="1:14" x14ac:dyDescent="0.25">
      <c r="A200" s="6"/>
      <c r="B200" s="6"/>
      <c r="C200" s="6"/>
      <c r="L200" s="6"/>
      <c r="M200" s="6"/>
      <c r="N200" s="6"/>
    </row>
    <row r="201" spans="1:14" x14ac:dyDescent="0.25">
      <c r="A201" s="6"/>
      <c r="B201" s="6"/>
      <c r="C201" s="6"/>
      <c r="L201" s="6"/>
      <c r="M201" s="6"/>
      <c r="N201" s="6"/>
    </row>
    <row r="202" spans="1:14" x14ac:dyDescent="0.25">
      <c r="A202" s="6"/>
      <c r="B202" s="6"/>
      <c r="C202" s="6"/>
      <c r="L202" s="6"/>
      <c r="M202" s="6"/>
      <c r="N202" s="6"/>
    </row>
    <row r="203" spans="1:14" x14ac:dyDescent="0.25">
      <c r="A203" s="6"/>
      <c r="B203" s="6"/>
      <c r="C203" s="6"/>
      <c r="L203" s="6"/>
      <c r="M203" s="6"/>
      <c r="N203" s="6"/>
    </row>
    <row r="204" spans="1:14" x14ac:dyDescent="0.25">
      <c r="A204" s="6"/>
      <c r="B204" s="6"/>
      <c r="C204" s="6"/>
      <c r="L204" s="6"/>
      <c r="M204" s="6"/>
      <c r="N204" s="6"/>
    </row>
    <row r="205" spans="1:14" x14ac:dyDescent="0.25">
      <c r="A205" s="6"/>
      <c r="B205" s="6"/>
      <c r="C205" s="6"/>
      <c r="L205" s="6"/>
      <c r="M205" s="6"/>
      <c r="N205" s="6"/>
    </row>
    <row r="206" spans="1:14" x14ac:dyDescent="0.25">
      <c r="A206" s="6"/>
      <c r="B206" s="6"/>
      <c r="C206" s="6"/>
      <c r="L206" s="6"/>
      <c r="M206" s="6"/>
      <c r="N206" s="6"/>
    </row>
    <row r="207" spans="1:14" x14ac:dyDescent="0.25">
      <c r="A207" s="6"/>
      <c r="B207" s="6"/>
      <c r="C207" s="6"/>
      <c r="L207" s="6"/>
      <c r="M207" s="6"/>
      <c r="N207" s="6"/>
    </row>
    <row r="208" spans="1:14" x14ac:dyDescent="0.25">
      <c r="A208" s="6"/>
      <c r="B208" s="6"/>
      <c r="C208" s="6"/>
      <c r="L208" s="6"/>
      <c r="M208" s="6"/>
      <c r="N208" s="6"/>
    </row>
    <row r="209" spans="1:14" x14ac:dyDescent="0.25">
      <c r="A209" s="6"/>
      <c r="B209" s="6"/>
      <c r="C209" s="6"/>
      <c r="L209" s="6"/>
      <c r="M209" s="6"/>
      <c r="N209" s="6"/>
    </row>
    <row r="210" spans="1:14" x14ac:dyDescent="0.25">
      <c r="A210" s="6"/>
      <c r="B210" s="6"/>
      <c r="C210" s="6"/>
      <c r="L210" s="6"/>
      <c r="M210" s="6"/>
      <c r="N210" s="6"/>
    </row>
    <row r="211" spans="1:14" x14ac:dyDescent="0.25">
      <c r="A211" s="6"/>
      <c r="B211" s="6"/>
      <c r="C211" s="6"/>
      <c r="L211" s="6"/>
      <c r="M211" s="6"/>
      <c r="N211" s="6"/>
    </row>
    <row r="212" spans="1:14" x14ac:dyDescent="0.25">
      <c r="A212" s="6"/>
      <c r="B212" s="6"/>
      <c r="C212" s="6"/>
      <c r="L212" s="6"/>
      <c r="M212" s="6"/>
      <c r="N212" s="6"/>
    </row>
    <row r="213" spans="1:14" x14ac:dyDescent="0.25">
      <c r="A213" s="6"/>
      <c r="B213" s="6"/>
      <c r="C213" s="6"/>
      <c r="L213" s="6"/>
      <c r="M213" s="6"/>
      <c r="N213" s="6"/>
    </row>
    <row r="214" spans="1:14" x14ac:dyDescent="0.25">
      <c r="A214" s="6"/>
      <c r="B214" s="6"/>
      <c r="C214" s="6"/>
      <c r="L214" s="6"/>
      <c r="M214" s="6"/>
      <c r="N214" s="6"/>
    </row>
    <row r="215" spans="1:14" x14ac:dyDescent="0.25">
      <c r="A215" s="6"/>
      <c r="B215" s="6"/>
      <c r="C215" s="6"/>
      <c r="L215" s="6"/>
      <c r="M215" s="6"/>
      <c r="N215" s="6"/>
    </row>
    <row r="216" spans="1:14" x14ac:dyDescent="0.25">
      <c r="A216" s="6"/>
      <c r="B216" s="6"/>
      <c r="C216" s="6"/>
      <c r="L216" s="6"/>
      <c r="M216" s="6"/>
      <c r="N216" s="6"/>
    </row>
    <row r="217" spans="1:14" x14ac:dyDescent="0.25">
      <c r="A217" s="6"/>
      <c r="B217" s="6"/>
      <c r="C217" s="6"/>
      <c r="L217" s="6"/>
      <c r="M217" s="6"/>
      <c r="N217" s="6"/>
    </row>
    <row r="218" spans="1:14" x14ac:dyDescent="0.25">
      <c r="A218" s="6"/>
      <c r="B218" s="6"/>
      <c r="C218" s="6"/>
      <c r="L218" s="6"/>
      <c r="M218" s="6"/>
      <c r="N218" s="6"/>
    </row>
    <row r="219" spans="1:14" x14ac:dyDescent="0.25">
      <c r="A219" s="6"/>
      <c r="B219" s="6"/>
      <c r="C219" s="6"/>
      <c r="L219" s="6"/>
      <c r="M219" s="6"/>
      <c r="N219" s="6"/>
    </row>
    <row r="220" spans="1:14" x14ac:dyDescent="0.25">
      <c r="A220" s="6"/>
      <c r="B220" s="6"/>
      <c r="C220" s="6"/>
      <c r="L220" s="6"/>
      <c r="M220" s="6"/>
      <c r="N220" s="6"/>
    </row>
    <row r="221" spans="1:14" x14ac:dyDescent="0.25">
      <c r="A221" s="6"/>
      <c r="B221" s="6"/>
      <c r="C221" s="6"/>
      <c r="L221" s="6"/>
      <c r="M221" s="6"/>
      <c r="N221" s="6"/>
    </row>
    <row r="222" spans="1:14" x14ac:dyDescent="0.25">
      <c r="A222" s="6"/>
      <c r="B222" s="6"/>
      <c r="C222" s="6"/>
      <c r="L222" s="6"/>
      <c r="M222" s="6"/>
      <c r="N222" s="6"/>
    </row>
    <row r="223" spans="1:14" x14ac:dyDescent="0.25">
      <c r="A223" s="6"/>
      <c r="B223" s="6"/>
      <c r="C223" s="6"/>
      <c r="L223" s="6"/>
      <c r="M223" s="6"/>
      <c r="N223" s="6"/>
    </row>
    <row r="224" spans="1:14" x14ac:dyDescent="0.25">
      <c r="A224" s="6"/>
      <c r="B224" s="6"/>
      <c r="C224" s="6"/>
      <c r="L224" s="6"/>
      <c r="M224" s="6"/>
      <c r="N224" s="6"/>
    </row>
    <row r="225" spans="1:14" x14ac:dyDescent="0.25">
      <c r="A225" s="6"/>
      <c r="B225" s="6"/>
      <c r="C225" s="6"/>
      <c r="L225" s="6"/>
      <c r="M225" s="6"/>
      <c r="N225" s="6"/>
    </row>
    <row r="226" spans="1:14" x14ac:dyDescent="0.25">
      <c r="A226" s="6"/>
      <c r="B226" s="6"/>
      <c r="C226" s="6"/>
      <c r="L226" s="6"/>
      <c r="M226" s="6"/>
      <c r="N226" s="6"/>
    </row>
    <row r="227" spans="1:14" x14ac:dyDescent="0.25">
      <c r="A227" s="6"/>
      <c r="B227" s="6"/>
      <c r="C227" s="6"/>
      <c r="L227" s="6"/>
      <c r="M227" s="6"/>
      <c r="N227" s="6"/>
    </row>
    <row r="228" spans="1:14" x14ac:dyDescent="0.25">
      <c r="A228" s="6"/>
      <c r="B228" s="6"/>
      <c r="C228" s="6"/>
      <c r="L228" s="6"/>
      <c r="M228" s="6"/>
      <c r="N228" s="6"/>
    </row>
    <row r="229" spans="1:14" x14ac:dyDescent="0.25">
      <c r="A229" s="6"/>
      <c r="B229" s="6"/>
      <c r="C229" s="6"/>
      <c r="L229" s="6"/>
      <c r="M229" s="6"/>
      <c r="N229" s="6"/>
    </row>
    <row r="230" spans="1:14" x14ac:dyDescent="0.25">
      <c r="A230" s="6"/>
      <c r="B230" s="6"/>
      <c r="C230" s="6"/>
      <c r="L230" s="6"/>
      <c r="M230" s="6"/>
      <c r="N230" s="6"/>
    </row>
    <row r="231" spans="1:14" x14ac:dyDescent="0.25">
      <c r="A231" s="6"/>
      <c r="B231" s="6"/>
      <c r="C231" s="6"/>
      <c r="L231" s="6"/>
      <c r="M231" s="6"/>
      <c r="N231" s="6"/>
    </row>
    <row r="232" spans="1:14" x14ac:dyDescent="0.25">
      <c r="A232" s="6"/>
      <c r="B232" s="6"/>
      <c r="C232" s="6"/>
      <c r="L232" s="6"/>
      <c r="M232" s="6"/>
      <c r="N232" s="6"/>
    </row>
    <row r="233" spans="1:14" x14ac:dyDescent="0.25">
      <c r="A233" s="6"/>
      <c r="B233" s="6"/>
      <c r="C233" s="6"/>
      <c r="L233" s="6"/>
      <c r="M233" s="6"/>
      <c r="N233" s="6"/>
    </row>
    <row r="234" spans="1:14" x14ac:dyDescent="0.25">
      <c r="A234" s="6"/>
      <c r="B234" s="6"/>
      <c r="C234" s="6"/>
      <c r="L234" s="6"/>
      <c r="M234" s="6"/>
      <c r="N234" s="6"/>
    </row>
    <row r="235" spans="1:14" x14ac:dyDescent="0.25">
      <c r="A235" s="6"/>
      <c r="B235" s="6"/>
      <c r="C235" s="6"/>
      <c r="L235" s="6"/>
      <c r="M235" s="6"/>
      <c r="N235" s="6"/>
    </row>
    <row r="236" spans="1:14" x14ac:dyDescent="0.25">
      <c r="A236" s="6"/>
      <c r="B236" s="6"/>
      <c r="C236" s="6"/>
      <c r="L236" s="6"/>
      <c r="M236" s="6"/>
      <c r="N236" s="6"/>
    </row>
    <row r="237" spans="1:14" x14ac:dyDescent="0.25">
      <c r="A237" s="6"/>
      <c r="B237" s="6"/>
      <c r="C237" s="6"/>
      <c r="L237" s="6"/>
      <c r="M237" s="6"/>
      <c r="N237" s="6"/>
    </row>
    <row r="238" spans="1:14" x14ac:dyDescent="0.25">
      <c r="A238" s="6"/>
      <c r="B238" s="6"/>
      <c r="C238" s="6"/>
      <c r="L238" s="6"/>
      <c r="M238" s="6"/>
      <c r="N238" s="6"/>
    </row>
    <row r="239" spans="1:14" x14ac:dyDescent="0.25">
      <c r="A239" s="6"/>
      <c r="B239" s="6"/>
      <c r="C239" s="6"/>
      <c r="L239" s="6"/>
      <c r="M239" s="6"/>
      <c r="N239" s="6"/>
    </row>
    <row r="240" spans="1:14" x14ac:dyDescent="0.25">
      <c r="A240" s="6"/>
      <c r="B240" s="6"/>
      <c r="C240" s="6"/>
      <c r="L240" s="6"/>
      <c r="M240" s="6"/>
      <c r="N240" s="6"/>
    </row>
    <row r="241" spans="1:14" x14ac:dyDescent="0.25">
      <c r="A241" s="6"/>
      <c r="B241" s="6"/>
      <c r="C241" s="6"/>
      <c r="L241" s="6"/>
      <c r="M241" s="6"/>
      <c r="N241" s="6"/>
    </row>
    <row r="242" spans="1:14" x14ac:dyDescent="0.25">
      <c r="A242" s="6"/>
      <c r="B242" s="6"/>
      <c r="C242" s="6"/>
      <c r="L242" s="6"/>
      <c r="M242" s="6"/>
      <c r="N242" s="6"/>
    </row>
    <row r="243" spans="1:14" x14ac:dyDescent="0.25">
      <c r="A243" s="6"/>
      <c r="B243" s="6"/>
      <c r="C243" s="6"/>
      <c r="L243" s="6"/>
      <c r="M243" s="6"/>
      <c r="N243" s="6"/>
    </row>
    <row r="244" spans="1:14" x14ac:dyDescent="0.25">
      <c r="A244" s="6"/>
      <c r="B244" s="6"/>
      <c r="C244" s="6"/>
      <c r="L244" s="6"/>
      <c r="M244" s="6"/>
      <c r="N244" s="6"/>
    </row>
    <row r="245" spans="1:14" x14ac:dyDescent="0.25">
      <c r="A245" s="6"/>
      <c r="B245" s="6"/>
      <c r="C245" s="6"/>
      <c r="L245" s="6"/>
      <c r="M245" s="6"/>
      <c r="N245" s="6"/>
    </row>
    <row r="246" spans="1:14" x14ac:dyDescent="0.25">
      <c r="A246" s="6"/>
      <c r="B246" s="6"/>
      <c r="C246" s="6"/>
      <c r="L246" s="6"/>
      <c r="M246" s="6"/>
      <c r="N246" s="6"/>
    </row>
    <row r="247" spans="1:14" x14ac:dyDescent="0.25">
      <c r="A247" s="6"/>
      <c r="B247" s="6"/>
      <c r="C247" s="6"/>
      <c r="L247" s="6"/>
      <c r="M247" s="6"/>
      <c r="N247" s="6"/>
    </row>
    <row r="248" spans="1:14" x14ac:dyDescent="0.25">
      <c r="A248" s="6"/>
      <c r="B248" s="6"/>
      <c r="C248" s="6"/>
      <c r="L248" s="6"/>
      <c r="M248" s="6"/>
      <c r="N248" s="6"/>
    </row>
    <row r="249" spans="1:14" x14ac:dyDescent="0.25">
      <c r="A249" s="6"/>
      <c r="B249" s="6"/>
      <c r="C249" s="6"/>
    </row>
    <row r="250" spans="1:14" x14ac:dyDescent="0.25">
      <c r="A250" s="6"/>
      <c r="B250" s="6"/>
      <c r="C250" s="6"/>
    </row>
    <row r="251" spans="1:14" x14ac:dyDescent="0.25">
      <c r="A251" s="6"/>
      <c r="B251" s="6"/>
      <c r="C251" s="6"/>
    </row>
    <row r="252" spans="1:14" x14ac:dyDescent="0.25">
      <c r="A252" s="6"/>
      <c r="B252" s="6"/>
      <c r="C252" s="6"/>
    </row>
    <row r="253" spans="1:14" x14ac:dyDescent="0.25">
      <c r="A253" s="6"/>
      <c r="B253" s="6"/>
      <c r="C253" s="6"/>
    </row>
    <row r="254" spans="1:14" x14ac:dyDescent="0.25">
      <c r="A254" s="6"/>
      <c r="B254" s="6"/>
      <c r="C254" s="6"/>
    </row>
    <row r="255" spans="1:14" x14ac:dyDescent="0.25">
      <c r="A255" s="6"/>
      <c r="B255" s="6"/>
      <c r="C255" s="6"/>
    </row>
    <row r="256" spans="1:14" x14ac:dyDescent="0.25">
      <c r="A256" s="6"/>
      <c r="B256" s="6"/>
      <c r="C256" s="6"/>
    </row>
    <row r="257" spans="1:3" x14ac:dyDescent="0.25">
      <c r="A257" s="6"/>
      <c r="B257" s="6"/>
      <c r="C257" s="6"/>
    </row>
    <row r="258" spans="1:3" x14ac:dyDescent="0.25">
      <c r="A258" s="6"/>
      <c r="B258" s="6"/>
      <c r="C258" s="6"/>
    </row>
    <row r="259" spans="1:3" x14ac:dyDescent="0.25">
      <c r="A259" s="6"/>
      <c r="B259" s="6"/>
      <c r="C259" s="6"/>
    </row>
    <row r="260" spans="1:3" x14ac:dyDescent="0.25">
      <c r="A260" s="6"/>
      <c r="B260" s="6"/>
      <c r="C260" s="6"/>
    </row>
    <row r="261" spans="1:3" x14ac:dyDescent="0.25">
      <c r="A261" s="6"/>
      <c r="B261" s="6"/>
      <c r="C261" s="6"/>
    </row>
    <row r="262" spans="1:3" x14ac:dyDescent="0.25">
      <c r="A262" s="6"/>
      <c r="B262" s="6"/>
      <c r="C262" s="6"/>
    </row>
    <row r="263" spans="1:3" x14ac:dyDescent="0.25">
      <c r="A263" s="6"/>
      <c r="B263" s="6"/>
      <c r="C263" s="6"/>
    </row>
    <row r="264" spans="1:3" x14ac:dyDescent="0.25">
      <c r="A264" s="6"/>
      <c r="B264" s="6"/>
      <c r="C264" s="6"/>
    </row>
    <row r="265" spans="1:3" x14ac:dyDescent="0.25">
      <c r="A265" s="6"/>
      <c r="B265" s="6"/>
      <c r="C265" s="6"/>
    </row>
    <row r="266" spans="1:3" x14ac:dyDescent="0.25">
      <c r="A266" s="6"/>
      <c r="B266" s="6"/>
      <c r="C266" s="6"/>
    </row>
    <row r="267" spans="1:3" x14ac:dyDescent="0.25">
      <c r="A267" s="6"/>
      <c r="B267" s="6"/>
      <c r="C267" s="6"/>
    </row>
    <row r="268" spans="1:3" x14ac:dyDescent="0.25">
      <c r="A268" s="6"/>
      <c r="B268" s="6"/>
      <c r="C268" s="6"/>
    </row>
    <row r="269" spans="1:3" x14ac:dyDescent="0.25">
      <c r="A269" s="6"/>
      <c r="B269" s="6"/>
      <c r="C269" s="6"/>
    </row>
    <row r="270" spans="1:3" x14ac:dyDescent="0.25">
      <c r="A270" s="6"/>
      <c r="B270" s="6"/>
      <c r="C270" s="6"/>
    </row>
    <row r="271" spans="1:3" x14ac:dyDescent="0.25">
      <c r="A271" s="6"/>
      <c r="B271" s="6"/>
      <c r="C271" s="6"/>
    </row>
    <row r="272" spans="1:3" x14ac:dyDescent="0.25">
      <c r="A272" s="6"/>
      <c r="B272" s="6"/>
      <c r="C272" s="6"/>
    </row>
    <row r="273" spans="1:3" x14ac:dyDescent="0.25">
      <c r="A273" s="6"/>
      <c r="B273" s="6"/>
      <c r="C273" s="6"/>
    </row>
    <row r="274" spans="1:3" x14ac:dyDescent="0.25">
      <c r="A274" s="6"/>
      <c r="B274" s="6"/>
      <c r="C274" s="6"/>
    </row>
    <row r="275" spans="1:3" x14ac:dyDescent="0.25">
      <c r="A275" s="6"/>
      <c r="B275" s="6"/>
      <c r="C275" s="6"/>
    </row>
    <row r="276" spans="1:3" x14ac:dyDescent="0.25">
      <c r="A276" s="6"/>
      <c r="B276" s="6"/>
      <c r="C276" s="6"/>
    </row>
    <row r="277" spans="1:3" x14ac:dyDescent="0.25">
      <c r="A277" s="6"/>
      <c r="B277" s="6"/>
      <c r="C277" s="6"/>
    </row>
    <row r="278" spans="1:3" x14ac:dyDescent="0.25">
      <c r="A278" s="6"/>
      <c r="B278" s="6"/>
      <c r="C278" s="6"/>
    </row>
    <row r="279" spans="1:3" x14ac:dyDescent="0.25">
      <c r="A279" s="6"/>
      <c r="B279" s="6"/>
      <c r="C279" s="6"/>
    </row>
    <row r="280" spans="1:3" x14ac:dyDescent="0.25">
      <c r="A280" s="6"/>
      <c r="B280" s="6"/>
      <c r="C280" s="6"/>
    </row>
    <row r="281" spans="1:3" x14ac:dyDescent="0.25">
      <c r="A281" s="6"/>
      <c r="B281" s="6"/>
      <c r="C281" s="6"/>
    </row>
    <row r="282" spans="1:3" x14ac:dyDescent="0.25">
      <c r="A282" s="6"/>
      <c r="B282" s="6"/>
      <c r="C282" s="6"/>
    </row>
    <row r="283" spans="1:3" x14ac:dyDescent="0.25">
      <c r="A283" s="6"/>
      <c r="B283" s="6"/>
      <c r="C283" s="6"/>
    </row>
    <row r="284" spans="1:3" x14ac:dyDescent="0.25">
      <c r="A284" s="6"/>
      <c r="B284" s="6"/>
      <c r="C284" s="6"/>
    </row>
    <row r="285" spans="1:3" x14ac:dyDescent="0.25">
      <c r="A285" s="6"/>
      <c r="B285" s="6"/>
      <c r="C285" s="6"/>
    </row>
    <row r="286" spans="1:3" x14ac:dyDescent="0.25">
      <c r="A286" s="6"/>
      <c r="B286" s="6"/>
      <c r="C286" s="6"/>
    </row>
    <row r="287" spans="1:3" x14ac:dyDescent="0.25">
      <c r="A287" s="6"/>
      <c r="B287" s="6"/>
      <c r="C287" s="6"/>
    </row>
    <row r="288" spans="1:3" x14ac:dyDescent="0.25">
      <c r="A288" s="6"/>
      <c r="B288" s="6"/>
      <c r="C288" s="6"/>
    </row>
    <row r="289" spans="1:3" x14ac:dyDescent="0.25">
      <c r="A289" s="6"/>
      <c r="B289" s="6"/>
      <c r="C289" s="6"/>
    </row>
    <row r="290" spans="1:3" x14ac:dyDescent="0.25">
      <c r="A290" s="6"/>
      <c r="B290" s="6"/>
      <c r="C290" s="6"/>
    </row>
    <row r="291" spans="1:3" x14ac:dyDescent="0.25">
      <c r="A291" s="6"/>
      <c r="B291" s="6"/>
      <c r="C291" s="6"/>
    </row>
    <row r="292" spans="1:3" x14ac:dyDescent="0.25">
      <c r="A292" s="6"/>
      <c r="B292" s="6"/>
      <c r="C292" s="6"/>
    </row>
    <row r="293" spans="1:3" x14ac:dyDescent="0.25">
      <c r="A293" s="6"/>
      <c r="B293" s="6"/>
      <c r="C293" s="6"/>
    </row>
    <row r="294" spans="1:3" x14ac:dyDescent="0.25">
      <c r="A294" s="6"/>
      <c r="B294" s="6"/>
      <c r="C294" s="6"/>
    </row>
    <row r="295" spans="1:3" x14ac:dyDescent="0.25">
      <c r="A295" s="6"/>
      <c r="B295" s="6"/>
      <c r="C295" s="6"/>
    </row>
    <row r="296" spans="1:3" x14ac:dyDescent="0.25">
      <c r="A296" s="6"/>
      <c r="B296" s="6"/>
      <c r="C296" s="6"/>
    </row>
    <row r="297" spans="1:3" x14ac:dyDescent="0.25">
      <c r="A297" s="6"/>
      <c r="B297" s="6"/>
      <c r="C297" s="6"/>
    </row>
    <row r="298" spans="1:3" x14ac:dyDescent="0.25">
      <c r="A298" s="6"/>
      <c r="B298" s="6"/>
      <c r="C298" s="6"/>
    </row>
    <row r="299" spans="1:3" x14ac:dyDescent="0.25">
      <c r="A299" s="6"/>
      <c r="B299" s="6"/>
      <c r="C299" s="6"/>
    </row>
    <row r="300" spans="1:3" x14ac:dyDescent="0.25">
      <c r="A300" s="6"/>
      <c r="B300" s="6"/>
      <c r="C300" s="6"/>
    </row>
    <row r="301" spans="1:3" x14ac:dyDescent="0.25">
      <c r="A301" s="6"/>
      <c r="B301" s="6"/>
      <c r="C301" s="6"/>
    </row>
    <row r="302" spans="1:3" x14ac:dyDescent="0.25">
      <c r="A302" s="6"/>
      <c r="B302" s="6"/>
      <c r="C302" s="6"/>
    </row>
    <row r="303" spans="1:3" x14ac:dyDescent="0.25">
      <c r="A303" s="6"/>
      <c r="B303" s="6"/>
      <c r="C303" s="6"/>
    </row>
    <row r="304" spans="1:3" x14ac:dyDescent="0.25">
      <c r="A304" s="6"/>
      <c r="B304" s="6"/>
      <c r="C304" s="6"/>
    </row>
    <row r="305" spans="1:3" x14ac:dyDescent="0.25">
      <c r="A305" s="6"/>
      <c r="B305" s="6"/>
      <c r="C305" s="6"/>
    </row>
    <row r="306" spans="1:3" x14ac:dyDescent="0.25">
      <c r="A306" s="6"/>
      <c r="B306" s="6"/>
      <c r="C306" s="6"/>
    </row>
    <row r="307" spans="1:3" x14ac:dyDescent="0.25">
      <c r="A307" s="6"/>
      <c r="B307" s="6"/>
      <c r="C307" s="6"/>
    </row>
    <row r="308" spans="1:3" x14ac:dyDescent="0.25">
      <c r="A308" s="6"/>
      <c r="B308" s="6"/>
      <c r="C308" s="6"/>
    </row>
    <row r="309" spans="1:3" x14ac:dyDescent="0.25">
      <c r="A309" s="6"/>
      <c r="B309" s="6"/>
      <c r="C309" s="6"/>
    </row>
    <row r="310" spans="1:3" x14ac:dyDescent="0.25">
      <c r="A310" s="6"/>
      <c r="B310" s="6"/>
      <c r="C310" s="6"/>
    </row>
    <row r="311" spans="1:3" x14ac:dyDescent="0.25">
      <c r="A311" s="6"/>
      <c r="B311" s="6"/>
      <c r="C311" s="6"/>
    </row>
    <row r="312" spans="1:3" x14ac:dyDescent="0.25">
      <c r="A312" s="6"/>
      <c r="B312" s="6"/>
      <c r="C312" s="6"/>
    </row>
    <row r="313" spans="1:3" x14ac:dyDescent="0.25">
      <c r="A313" s="6"/>
      <c r="B313" s="6"/>
      <c r="C313" s="6"/>
    </row>
    <row r="314" spans="1:3" x14ac:dyDescent="0.25">
      <c r="A314" s="6"/>
      <c r="B314" s="6"/>
      <c r="C314" s="6"/>
    </row>
    <row r="315" spans="1:3" x14ac:dyDescent="0.25">
      <c r="A315" s="6"/>
      <c r="B315" s="6"/>
      <c r="C315" s="6"/>
    </row>
    <row r="316" spans="1:3" x14ac:dyDescent="0.25">
      <c r="A316" s="6"/>
      <c r="B316" s="6"/>
      <c r="C316" s="6"/>
    </row>
    <row r="317" spans="1:3" x14ac:dyDescent="0.25">
      <c r="A317" s="6"/>
      <c r="B317" s="6"/>
      <c r="C317" s="6"/>
    </row>
    <row r="318" spans="1:3" x14ac:dyDescent="0.25">
      <c r="A318" s="6"/>
      <c r="B318" s="6"/>
      <c r="C318" s="6"/>
    </row>
    <row r="319" spans="1:3" x14ac:dyDescent="0.25">
      <c r="A319" s="6"/>
      <c r="B319" s="6"/>
      <c r="C319" s="6"/>
    </row>
    <row r="320" spans="1:3" x14ac:dyDescent="0.25">
      <c r="A320" s="6"/>
      <c r="B320" s="6"/>
      <c r="C320" s="6"/>
    </row>
    <row r="321" spans="1:3" x14ac:dyDescent="0.25">
      <c r="A321" s="6"/>
      <c r="B321" s="6"/>
      <c r="C321" s="6"/>
    </row>
    <row r="322" spans="1:3" x14ac:dyDescent="0.25">
      <c r="A322" s="6"/>
      <c r="B322" s="6"/>
      <c r="C322" s="6"/>
    </row>
    <row r="323" spans="1:3" x14ac:dyDescent="0.25">
      <c r="A323" s="6"/>
      <c r="B323" s="6"/>
      <c r="C323" s="6"/>
    </row>
    <row r="324" spans="1:3" x14ac:dyDescent="0.25">
      <c r="A324" s="6"/>
      <c r="B324" s="6"/>
      <c r="C324" s="6"/>
    </row>
    <row r="325" spans="1:3" x14ac:dyDescent="0.25">
      <c r="A325" s="6"/>
      <c r="B325" s="6"/>
      <c r="C325" s="6"/>
    </row>
    <row r="326" spans="1:3" x14ac:dyDescent="0.25">
      <c r="A326" s="6"/>
      <c r="B326" s="6"/>
      <c r="C326" s="6"/>
    </row>
    <row r="327" spans="1:3" x14ac:dyDescent="0.25">
      <c r="A327" s="6"/>
      <c r="B327" s="6"/>
      <c r="C327" s="6"/>
    </row>
    <row r="328" spans="1:3" x14ac:dyDescent="0.25">
      <c r="A328" s="6"/>
      <c r="B328" s="6"/>
      <c r="C328" s="6"/>
    </row>
    <row r="329" spans="1:3" x14ac:dyDescent="0.25">
      <c r="A329" s="6"/>
      <c r="B329" s="6"/>
      <c r="C329" s="6"/>
    </row>
    <row r="330" spans="1:3" x14ac:dyDescent="0.25">
      <c r="A330" s="6"/>
      <c r="B330" s="6"/>
      <c r="C330" s="6"/>
    </row>
    <row r="331" spans="1:3" x14ac:dyDescent="0.25">
      <c r="A331" s="6"/>
      <c r="B331" s="6"/>
      <c r="C331" s="6"/>
    </row>
    <row r="332" spans="1:3" x14ac:dyDescent="0.25">
      <c r="A332" s="6"/>
      <c r="B332" s="6"/>
      <c r="C332" s="6"/>
    </row>
    <row r="333" spans="1:3" x14ac:dyDescent="0.25">
      <c r="A333" s="6"/>
      <c r="B333" s="6"/>
      <c r="C333" s="6"/>
    </row>
    <row r="334" spans="1:3" x14ac:dyDescent="0.25">
      <c r="A334" s="6"/>
      <c r="B334" s="6"/>
      <c r="C334" s="6"/>
    </row>
    <row r="335" spans="1:3" x14ac:dyDescent="0.25">
      <c r="A335" s="6"/>
      <c r="B335" s="6"/>
      <c r="C335" s="6"/>
    </row>
    <row r="336" spans="1:3" x14ac:dyDescent="0.25">
      <c r="A336" s="6"/>
      <c r="B336" s="6"/>
      <c r="C336" s="6"/>
    </row>
    <row r="337" spans="1:3" x14ac:dyDescent="0.25">
      <c r="A337" s="6"/>
      <c r="B337" s="6"/>
      <c r="C337" s="6"/>
    </row>
    <row r="338" spans="1:3" x14ac:dyDescent="0.25">
      <c r="A338" s="6"/>
      <c r="B338" s="6"/>
      <c r="C338" s="6"/>
    </row>
    <row r="339" spans="1:3" x14ac:dyDescent="0.25">
      <c r="A339" s="6"/>
      <c r="B339" s="6"/>
      <c r="C339" s="6"/>
    </row>
    <row r="340" spans="1:3" x14ac:dyDescent="0.25">
      <c r="A340" s="6"/>
      <c r="B340" s="6"/>
      <c r="C340" s="6"/>
    </row>
    <row r="341" spans="1:3" x14ac:dyDescent="0.25">
      <c r="A341" s="6"/>
      <c r="B341" s="6"/>
      <c r="C341" s="6"/>
    </row>
    <row r="342" spans="1:3" x14ac:dyDescent="0.25">
      <c r="A342" s="6"/>
      <c r="B342" s="6"/>
      <c r="C342" s="6"/>
    </row>
    <row r="343" spans="1:3" x14ac:dyDescent="0.25">
      <c r="A343" s="6"/>
      <c r="B343" s="6"/>
      <c r="C343" s="6"/>
    </row>
    <row r="344" spans="1:3" x14ac:dyDescent="0.25">
      <c r="A344" s="6"/>
      <c r="B344" s="6"/>
      <c r="C344" s="6"/>
    </row>
    <row r="345" spans="1:3" x14ac:dyDescent="0.25">
      <c r="A345" s="6"/>
      <c r="B345" s="6"/>
      <c r="C345" s="6"/>
    </row>
    <row r="346" spans="1:3" x14ac:dyDescent="0.25">
      <c r="A346" s="6"/>
      <c r="B346" s="6"/>
      <c r="C346" s="6"/>
    </row>
    <row r="347" spans="1:3" x14ac:dyDescent="0.25">
      <c r="A347" s="6"/>
      <c r="B347" s="6"/>
      <c r="C347" s="6"/>
    </row>
    <row r="348" spans="1:3" x14ac:dyDescent="0.25">
      <c r="A348" s="6"/>
      <c r="B348" s="6"/>
      <c r="C348" s="6"/>
    </row>
    <row r="349" spans="1:3" x14ac:dyDescent="0.25">
      <c r="A349" s="6"/>
      <c r="B349" s="6"/>
      <c r="C349" s="6"/>
    </row>
    <row r="350" spans="1:3" x14ac:dyDescent="0.25">
      <c r="A350" s="6"/>
      <c r="B350" s="6"/>
      <c r="C350" s="6"/>
    </row>
    <row r="351" spans="1:3" x14ac:dyDescent="0.25">
      <c r="A351" s="6"/>
      <c r="B351" s="6"/>
      <c r="C351" s="6"/>
    </row>
    <row r="352" spans="1:3" x14ac:dyDescent="0.25">
      <c r="A352" s="6"/>
      <c r="B352" s="6"/>
      <c r="C352" s="6"/>
    </row>
    <row r="353" spans="1:3" x14ac:dyDescent="0.25">
      <c r="A353" s="6"/>
      <c r="B353" s="6"/>
      <c r="C353" s="6"/>
    </row>
    <row r="354" spans="1:3" x14ac:dyDescent="0.25">
      <c r="A354" s="6"/>
      <c r="B354" s="6"/>
      <c r="C354" s="6"/>
    </row>
    <row r="355" spans="1:3" x14ac:dyDescent="0.25">
      <c r="A355" s="6"/>
      <c r="B355" s="6"/>
      <c r="C355" s="6"/>
    </row>
    <row r="356" spans="1:3" x14ac:dyDescent="0.25">
      <c r="A356" s="6"/>
      <c r="B356" s="6"/>
      <c r="C356" s="6"/>
    </row>
    <row r="357" spans="1:3" x14ac:dyDescent="0.25">
      <c r="A357" s="6"/>
      <c r="B357" s="6"/>
      <c r="C357" s="6"/>
    </row>
    <row r="358" spans="1:3" x14ac:dyDescent="0.25">
      <c r="A358" s="6"/>
      <c r="B358" s="6"/>
      <c r="C358" s="6"/>
    </row>
    <row r="359" spans="1:3" x14ac:dyDescent="0.25">
      <c r="A359" s="6"/>
      <c r="B359" s="6"/>
      <c r="C359" s="6"/>
    </row>
    <row r="360" spans="1:3" x14ac:dyDescent="0.25">
      <c r="A360" s="6"/>
      <c r="B360" s="6"/>
      <c r="C360" s="6"/>
    </row>
    <row r="361" spans="1:3" x14ac:dyDescent="0.25">
      <c r="A361" s="6"/>
      <c r="B361" s="6"/>
      <c r="C361" s="6"/>
    </row>
    <row r="362" spans="1:3" x14ac:dyDescent="0.25">
      <c r="A362" s="6"/>
      <c r="B362" s="6"/>
      <c r="C362" s="6"/>
    </row>
    <row r="363" spans="1:3" x14ac:dyDescent="0.25">
      <c r="A363" s="6"/>
      <c r="B363" s="6"/>
      <c r="C363" s="6"/>
    </row>
    <row r="364" spans="1:3" x14ac:dyDescent="0.25">
      <c r="A364" s="6"/>
      <c r="B364" s="6"/>
      <c r="C364" s="6"/>
    </row>
    <row r="365" spans="1:3" x14ac:dyDescent="0.25">
      <c r="A365" s="6"/>
      <c r="B365" s="6"/>
      <c r="C365" s="6"/>
    </row>
    <row r="366" spans="1:3" x14ac:dyDescent="0.25">
      <c r="A366" s="6"/>
      <c r="B366" s="6"/>
      <c r="C366" s="6"/>
    </row>
    <row r="367" spans="1:3" x14ac:dyDescent="0.25">
      <c r="A367" s="6"/>
      <c r="B367" s="6"/>
      <c r="C367" s="6"/>
    </row>
    <row r="368" spans="1:3" x14ac:dyDescent="0.25">
      <c r="A368" s="6"/>
      <c r="B368" s="6"/>
      <c r="C368" s="6"/>
    </row>
    <row r="369" spans="1:3" x14ac:dyDescent="0.25">
      <c r="A369" s="6"/>
      <c r="B369" s="6"/>
      <c r="C369" s="6"/>
    </row>
    <row r="370" spans="1:3" x14ac:dyDescent="0.25">
      <c r="A370" s="6"/>
      <c r="B370" s="6"/>
      <c r="C370" s="6"/>
    </row>
    <row r="371" spans="1:3" x14ac:dyDescent="0.25">
      <c r="A371" s="6"/>
      <c r="B371" s="6"/>
      <c r="C371" s="6"/>
    </row>
    <row r="372" spans="1:3" x14ac:dyDescent="0.25">
      <c r="A372" s="6"/>
      <c r="B372" s="6"/>
      <c r="C372" s="6"/>
    </row>
    <row r="373" spans="1:3" x14ac:dyDescent="0.25">
      <c r="A373" s="6"/>
      <c r="B373" s="6"/>
      <c r="C373" s="6"/>
    </row>
    <row r="374" spans="1:3" x14ac:dyDescent="0.25">
      <c r="A374" s="6"/>
      <c r="B374" s="6"/>
      <c r="C374" s="6"/>
    </row>
    <row r="375" spans="1:3" x14ac:dyDescent="0.25">
      <c r="A375" s="6"/>
      <c r="B375" s="6"/>
      <c r="C375" s="6"/>
    </row>
    <row r="376" spans="1:3" x14ac:dyDescent="0.25">
      <c r="A376" s="6"/>
      <c r="B376" s="6"/>
      <c r="C376" s="6"/>
    </row>
    <row r="377" spans="1:3" x14ac:dyDescent="0.25">
      <c r="A377" s="6"/>
      <c r="B377" s="6"/>
      <c r="C377" s="6"/>
    </row>
    <row r="378" spans="1:3" x14ac:dyDescent="0.25">
      <c r="A378" s="6"/>
      <c r="B378" s="6"/>
      <c r="C378" s="6"/>
    </row>
    <row r="379" spans="1:3" x14ac:dyDescent="0.25">
      <c r="A379" s="6"/>
      <c r="B379" s="6"/>
      <c r="C379" s="6"/>
    </row>
    <row r="380" spans="1:3" x14ac:dyDescent="0.25">
      <c r="A380" s="6"/>
      <c r="B380" s="6"/>
      <c r="C380" s="6"/>
    </row>
    <row r="381" spans="1:3" x14ac:dyDescent="0.25">
      <c r="A381" s="6"/>
      <c r="B381" s="6"/>
      <c r="C381" s="6"/>
    </row>
    <row r="382" spans="1:3" x14ac:dyDescent="0.25">
      <c r="A382" s="6"/>
      <c r="B382" s="6"/>
      <c r="C382" s="6"/>
    </row>
    <row r="383" spans="1:3" x14ac:dyDescent="0.25">
      <c r="A383" s="6"/>
      <c r="B383" s="6"/>
      <c r="C383" s="6"/>
    </row>
    <row r="384" spans="1:3" x14ac:dyDescent="0.25">
      <c r="A384" s="6"/>
      <c r="B384" s="6"/>
      <c r="C384" s="6"/>
    </row>
    <row r="385" spans="1:3" x14ac:dyDescent="0.25">
      <c r="A385" s="6"/>
      <c r="B385" s="6"/>
      <c r="C385" s="6"/>
    </row>
    <row r="386" spans="1:3" x14ac:dyDescent="0.25">
      <c r="A386" s="6"/>
      <c r="B386" s="6"/>
      <c r="C386" s="6"/>
    </row>
    <row r="387" spans="1:3" x14ac:dyDescent="0.25">
      <c r="A387" s="6"/>
      <c r="B387" s="6"/>
      <c r="C387" s="6"/>
    </row>
    <row r="388" spans="1:3" x14ac:dyDescent="0.25">
      <c r="A388" s="6"/>
      <c r="B388" s="6"/>
      <c r="C388" s="6"/>
    </row>
    <row r="389" spans="1:3" x14ac:dyDescent="0.25">
      <c r="A389" s="6"/>
      <c r="B389" s="6"/>
      <c r="C389" s="6"/>
    </row>
    <row r="390" spans="1:3" x14ac:dyDescent="0.25">
      <c r="A390" s="6"/>
      <c r="B390" s="6"/>
      <c r="C390" s="6"/>
    </row>
    <row r="391" spans="1:3" x14ac:dyDescent="0.25">
      <c r="A391" s="6"/>
      <c r="B391" s="6"/>
      <c r="C391" s="6"/>
    </row>
    <row r="392" spans="1:3" x14ac:dyDescent="0.25">
      <c r="A392" s="6"/>
      <c r="B392" s="6"/>
      <c r="C392" s="6"/>
    </row>
    <row r="393" spans="1:3" x14ac:dyDescent="0.25">
      <c r="A393" s="6"/>
      <c r="B393" s="6"/>
      <c r="C393" s="6"/>
    </row>
    <row r="394" spans="1:3" x14ac:dyDescent="0.25">
      <c r="A394" s="6"/>
      <c r="B394" s="6"/>
      <c r="C394" s="6"/>
    </row>
    <row r="395" spans="1:3" x14ac:dyDescent="0.25">
      <c r="A395" s="6"/>
      <c r="B395" s="6"/>
      <c r="C395" s="6"/>
    </row>
    <row r="396" spans="1:3" x14ac:dyDescent="0.25">
      <c r="A396" s="6"/>
      <c r="B396" s="6"/>
      <c r="C396" s="6"/>
    </row>
    <row r="397" spans="1:3" x14ac:dyDescent="0.25">
      <c r="A397" s="6"/>
      <c r="B397" s="6"/>
      <c r="C397" s="6"/>
    </row>
    <row r="398" spans="1:3" x14ac:dyDescent="0.25">
      <c r="A398" s="6"/>
      <c r="B398" s="6"/>
      <c r="C398" s="6"/>
    </row>
    <row r="399" spans="1:3" x14ac:dyDescent="0.25">
      <c r="A399" s="6"/>
      <c r="B399" s="6"/>
      <c r="C399" s="6"/>
    </row>
    <row r="400" spans="1:3" x14ac:dyDescent="0.25">
      <c r="A400" s="6"/>
      <c r="B400" s="6"/>
      <c r="C400" s="6"/>
    </row>
    <row r="401" spans="1:3" x14ac:dyDescent="0.25">
      <c r="A401" s="6"/>
      <c r="B401" s="6"/>
      <c r="C401" s="6"/>
    </row>
    <row r="402" spans="1:3" x14ac:dyDescent="0.25">
      <c r="A402" s="6"/>
      <c r="B402" s="6"/>
      <c r="C402" s="6"/>
    </row>
    <row r="403" spans="1:3" x14ac:dyDescent="0.25">
      <c r="A403" s="6"/>
      <c r="B403" s="6"/>
      <c r="C403" s="6"/>
    </row>
    <row r="404" spans="1:3" x14ac:dyDescent="0.25">
      <c r="A404" s="6"/>
      <c r="B404" s="6"/>
      <c r="C404" s="6"/>
    </row>
    <row r="405" spans="1:3" x14ac:dyDescent="0.25">
      <c r="A405" s="6"/>
      <c r="B405" s="6"/>
      <c r="C405" s="6"/>
    </row>
    <row r="406" spans="1:3" x14ac:dyDescent="0.25">
      <c r="A406" s="6"/>
      <c r="B406" s="6"/>
      <c r="C406" s="6"/>
    </row>
    <row r="407" spans="1:3" x14ac:dyDescent="0.25">
      <c r="A407" s="6"/>
      <c r="B407" s="6"/>
      <c r="C407" s="6"/>
    </row>
    <row r="408" spans="1:3" x14ac:dyDescent="0.25">
      <c r="A408" s="6"/>
      <c r="B408" s="6"/>
      <c r="C408" s="6"/>
    </row>
    <row r="409" spans="1:3" x14ac:dyDescent="0.25">
      <c r="A409" s="6"/>
      <c r="B409" s="6"/>
      <c r="C409" s="6"/>
    </row>
    <row r="410" spans="1:3" x14ac:dyDescent="0.25">
      <c r="A410" s="6"/>
      <c r="B410" s="6"/>
      <c r="C410" s="6"/>
    </row>
    <row r="411" spans="1:3" x14ac:dyDescent="0.25">
      <c r="A411" s="6"/>
      <c r="B411" s="6"/>
      <c r="C411" s="6"/>
    </row>
    <row r="412" spans="1:3" x14ac:dyDescent="0.25">
      <c r="A412" s="6"/>
      <c r="B412" s="6"/>
      <c r="C412" s="6"/>
    </row>
    <row r="413" spans="1:3" x14ac:dyDescent="0.25">
      <c r="A413" s="6"/>
      <c r="B413" s="6"/>
      <c r="C413" s="6"/>
    </row>
    <row r="414" spans="1:3" x14ac:dyDescent="0.25">
      <c r="A414" s="6"/>
      <c r="B414" s="6"/>
      <c r="C414" s="6"/>
    </row>
    <row r="415" spans="1:3" x14ac:dyDescent="0.25">
      <c r="A415" s="6"/>
      <c r="B415" s="6"/>
      <c r="C415" s="6"/>
    </row>
    <row r="416" spans="1:3" x14ac:dyDescent="0.25">
      <c r="A416" s="6"/>
      <c r="B416" s="6"/>
      <c r="C416" s="6"/>
    </row>
    <row r="417" spans="1:3" x14ac:dyDescent="0.25">
      <c r="A417" s="6"/>
      <c r="B417" s="6"/>
      <c r="C417" s="6"/>
    </row>
    <row r="418" spans="1:3" x14ac:dyDescent="0.25">
      <c r="A418" s="6"/>
      <c r="B418" s="6"/>
      <c r="C418" s="6"/>
    </row>
    <row r="419" spans="1:3" x14ac:dyDescent="0.25">
      <c r="A419" s="6"/>
      <c r="B419" s="6"/>
      <c r="C419" s="6"/>
    </row>
    <row r="420" spans="1:3" x14ac:dyDescent="0.25">
      <c r="A420" s="6"/>
      <c r="B420" s="6"/>
      <c r="C420" s="6"/>
    </row>
    <row r="421" spans="1:3" x14ac:dyDescent="0.25">
      <c r="A421" s="6"/>
      <c r="B421" s="6"/>
      <c r="C421" s="6"/>
    </row>
    <row r="422" spans="1:3" x14ac:dyDescent="0.25">
      <c r="A422" s="6"/>
      <c r="B422" s="6"/>
      <c r="C422" s="6"/>
    </row>
    <row r="423" spans="1:3" x14ac:dyDescent="0.25">
      <c r="A423" s="6"/>
      <c r="B423" s="6"/>
      <c r="C423" s="6"/>
    </row>
    <row r="424" spans="1:3" x14ac:dyDescent="0.25">
      <c r="A424" s="6"/>
      <c r="B424" s="6"/>
      <c r="C424" s="6"/>
    </row>
    <row r="425" spans="1:3" x14ac:dyDescent="0.25">
      <c r="A425" s="6"/>
      <c r="B425" s="6"/>
      <c r="C425" s="6"/>
    </row>
    <row r="426" spans="1:3" x14ac:dyDescent="0.25">
      <c r="A426" s="6"/>
      <c r="B426" s="6"/>
      <c r="C426" s="6"/>
    </row>
    <row r="427" spans="1:3" x14ac:dyDescent="0.25">
      <c r="A427" s="6"/>
      <c r="B427" s="6"/>
      <c r="C427" s="6"/>
    </row>
    <row r="428" spans="1:3" x14ac:dyDescent="0.25">
      <c r="A428" s="6"/>
      <c r="B428" s="6"/>
      <c r="C428" s="6"/>
    </row>
    <row r="429" spans="1:3" x14ac:dyDescent="0.25">
      <c r="A429" s="6"/>
      <c r="B429" s="6"/>
      <c r="C429" s="6"/>
    </row>
    <row r="430" spans="1:3" x14ac:dyDescent="0.25">
      <c r="A430" s="6"/>
      <c r="B430" s="6"/>
      <c r="C430" s="6"/>
    </row>
    <row r="431" spans="1:3" x14ac:dyDescent="0.25">
      <c r="A431" s="6"/>
      <c r="B431" s="6"/>
      <c r="C431" s="6"/>
    </row>
    <row r="432" spans="1:3" x14ac:dyDescent="0.25">
      <c r="A432" s="6"/>
      <c r="B432" s="6"/>
      <c r="C432" s="6"/>
    </row>
    <row r="433" spans="1:3" x14ac:dyDescent="0.25">
      <c r="A433" s="6"/>
      <c r="B433" s="6"/>
      <c r="C433" s="6"/>
    </row>
    <row r="434" spans="1:3" x14ac:dyDescent="0.25">
      <c r="A434" s="6"/>
      <c r="B434" s="6"/>
      <c r="C434" s="6"/>
    </row>
    <row r="435" spans="1:3" x14ac:dyDescent="0.25">
      <c r="A435" s="6"/>
      <c r="B435" s="6"/>
      <c r="C435" s="6"/>
    </row>
    <row r="436" spans="1:3" x14ac:dyDescent="0.25">
      <c r="A436" s="6"/>
      <c r="B436" s="6"/>
      <c r="C436" s="6"/>
    </row>
    <row r="437" spans="1:3" x14ac:dyDescent="0.25">
      <c r="A437" s="6"/>
      <c r="B437" s="6"/>
      <c r="C437" s="6"/>
    </row>
    <row r="438" spans="1:3" x14ac:dyDescent="0.25">
      <c r="A438" s="6"/>
      <c r="B438" s="6"/>
      <c r="C438" s="6"/>
    </row>
    <row r="439" spans="1:3" x14ac:dyDescent="0.25">
      <c r="A439" s="6"/>
      <c r="B439" s="6"/>
      <c r="C439" s="6"/>
    </row>
    <row r="440" spans="1:3" x14ac:dyDescent="0.25">
      <c r="A440" s="6"/>
      <c r="B440" s="6"/>
      <c r="C440" s="6"/>
    </row>
    <row r="441" spans="1:3" x14ac:dyDescent="0.25">
      <c r="A441" s="6"/>
      <c r="B441" s="6"/>
      <c r="C441" s="6"/>
    </row>
    <row r="442" spans="1:3" x14ac:dyDescent="0.25">
      <c r="A442" s="6"/>
      <c r="B442" s="6"/>
      <c r="C442" s="6"/>
    </row>
    <row r="443" spans="1:3" x14ac:dyDescent="0.25">
      <c r="A443" s="6"/>
      <c r="B443" s="6"/>
      <c r="C443" s="6"/>
    </row>
    <row r="444" spans="1:3" x14ac:dyDescent="0.25">
      <c r="A444" s="6"/>
      <c r="B444" s="6"/>
      <c r="C444" s="6"/>
    </row>
    <row r="445" spans="1:3" x14ac:dyDescent="0.25">
      <c r="A445" s="6"/>
      <c r="B445" s="6"/>
      <c r="C445" s="6"/>
    </row>
    <row r="446" spans="1:3" x14ac:dyDescent="0.25">
      <c r="A446" s="6"/>
      <c r="B446" s="6"/>
      <c r="C446" s="6"/>
    </row>
    <row r="447" spans="1:3" x14ac:dyDescent="0.25">
      <c r="A447" s="6"/>
      <c r="B447" s="6"/>
      <c r="C447" s="6"/>
    </row>
    <row r="448" spans="1:3" x14ac:dyDescent="0.25">
      <c r="A448" s="6"/>
      <c r="B448" s="6"/>
      <c r="C448" s="6"/>
    </row>
    <row r="449" spans="1:3" x14ac:dyDescent="0.25">
      <c r="A449" s="6"/>
      <c r="B449" s="6"/>
      <c r="C449" s="6"/>
    </row>
    <row r="450" spans="1:3" x14ac:dyDescent="0.25">
      <c r="A450" s="6"/>
      <c r="B450" s="6"/>
      <c r="C450" s="6"/>
    </row>
    <row r="451" spans="1:3" x14ac:dyDescent="0.25">
      <c r="A451" s="6"/>
      <c r="B451" s="6"/>
      <c r="C451" s="6"/>
    </row>
    <row r="452" spans="1:3" x14ac:dyDescent="0.25">
      <c r="A452" s="6"/>
      <c r="B452" s="6"/>
      <c r="C452" s="6"/>
    </row>
    <row r="453" spans="1:3" x14ac:dyDescent="0.25">
      <c r="A453" s="6"/>
      <c r="B453" s="6"/>
      <c r="C453" s="6"/>
    </row>
    <row r="454" spans="1:3" x14ac:dyDescent="0.25">
      <c r="A454" s="6"/>
      <c r="B454" s="6"/>
      <c r="C454" s="6"/>
    </row>
    <row r="455" spans="1:3" x14ac:dyDescent="0.25">
      <c r="A455" s="6"/>
      <c r="B455" s="6"/>
      <c r="C455" s="6"/>
    </row>
    <row r="456" spans="1:3" x14ac:dyDescent="0.25">
      <c r="A456" s="6"/>
      <c r="B456" s="6"/>
      <c r="C456" s="6"/>
    </row>
    <row r="457" spans="1:3" x14ac:dyDescent="0.25">
      <c r="A457" s="6"/>
      <c r="B457" s="6"/>
      <c r="C457" s="6"/>
    </row>
    <row r="458" spans="1:3" x14ac:dyDescent="0.25">
      <c r="A458" s="6"/>
      <c r="B458" s="6"/>
      <c r="C458" s="6"/>
    </row>
    <row r="459" spans="1:3" x14ac:dyDescent="0.25">
      <c r="A459" s="6"/>
      <c r="B459" s="6"/>
      <c r="C459" s="6"/>
    </row>
    <row r="460" spans="1:3" x14ac:dyDescent="0.25">
      <c r="A460" s="6"/>
      <c r="B460" s="6"/>
      <c r="C460" s="6"/>
    </row>
    <row r="461" spans="1:3" x14ac:dyDescent="0.25">
      <c r="A461" s="6"/>
      <c r="B461" s="6"/>
      <c r="C461" s="6"/>
    </row>
    <row r="462" spans="1:3" x14ac:dyDescent="0.25">
      <c r="A462" s="6"/>
      <c r="B462" s="6"/>
      <c r="C462" s="6"/>
    </row>
    <row r="463" spans="1:3" x14ac:dyDescent="0.25">
      <c r="A463" s="6"/>
      <c r="B463" s="6"/>
      <c r="C463" s="6"/>
    </row>
    <row r="464" spans="1:3" x14ac:dyDescent="0.25">
      <c r="A464" s="6"/>
      <c r="B464" s="6"/>
      <c r="C464" s="6"/>
    </row>
    <row r="465" spans="1:3" x14ac:dyDescent="0.25">
      <c r="A465" s="6"/>
      <c r="B465" s="6"/>
      <c r="C465" s="6"/>
    </row>
    <row r="466" spans="1:3" x14ac:dyDescent="0.25">
      <c r="A466" s="6"/>
      <c r="B466" s="6"/>
      <c r="C466" s="6"/>
    </row>
    <row r="467" spans="1:3" x14ac:dyDescent="0.25">
      <c r="A467" s="6"/>
      <c r="B467" s="6"/>
      <c r="C467" s="6"/>
    </row>
    <row r="468" spans="1:3" x14ac:dyDescent="0.25">
      <c r="A468" s="6"/>
      <c r="B468" s="6"/>
      <c r="C468" s="6"/>
    </row>
    <row r="469" spans="1:3" x14ac:dyDescent="0.25">
      <c r="A469" s="6"/>
      <c r="B469" s="6"/>
      <c r="C469" s="6"/>
    </row>
    <row r="470" spans="1:3" x14ac:dyDescent="0.25">
      <c r="A470" s="6"/>
      <c r="B470" s="6"/>
      <c r="C470" s="6"/>
    </row>
    <row r="471" spans="1:3" x14ac:dyDescent="0.25">
      <c r="A471" s="6"/>
      <c r="B471" s="6"/>
      <c r="C471" s="6"/>
    </row>
    <row r="472" spans="1:3" x14ac:dyDescent="0.25">
      <c r="A472" s="6"/>
      <c r="B472" s="6"/>
      <c r="C472" s="6"/>
    </row>
    <row r="473" spans="1:3" x14ac:dyDescent="0.25">
      <c r="A473" s="6"/>
      <c r="B473" s="6"/>
      <c r="C473" s="6"/>
    </row>
    <row r="474" spans="1:3" x14ac:dyDescent="0.25">
      <c r="A474" s="6"/>
      <c r="B474" s="6"/>
      <c r="C474" s="6"/>
    </row>
    <row r="475" spans="1:3" x14ac:dyDescent="0.25">
      <c r="A475" s="6"/>
      <c r="B475" s="6"/>
      <c r="C475" s="6"/>
    </row>
    <row r="476" spans="1:3" x14ac:dyDescent="0.25">
      <c r="A476" s="6"/>
      <c r="B476" s="6"/>
      <c r="C476" s="6"/>
    </row>
    <row r="477" spans="1:3" x14ac:dyDescent="0.25">
      <c r="A477" s="6"/>
      <c r="B477" s="6"/>
      <c r="C477" s="6"/>
    </row>
    <row r="478" spans="1:3" x14ac:dyDescent="0.25">
      <c r="A478" s="6"/>
      <c r="B478" s="6"/>
      <c r="C478" s="6"/>
    </row>
    <row r="479" spans="1:3" x14ac:dyDescent="0.25">
      <c r="A479" s="6"/>
      <c r="B479" s="6"/>
      <c r="C479" s="6"/>
    </row>
    <row r="480" spans="1:3" x14ac:dyDescent="0.25">
      <c r="A480" s="6"/>
      <c r="B480" s="6"/>
      <c r="C480" s="6"/>
    </row>
    <row r="481" spans="1:3" x14ac:dyDescent="0.25">
      <c r="A481" s="6"/>
      <c r="B481" s="6"/>
      <c r="C481" s="6"/>
    </row>
    <row r="482" spans="1:3" x14ac:dyDescent="0.25">
      <c r="A482" s="6"/>
      <c r="B482" s="6"/>
      <c r="C482" s="6"/>
    </row>
    <row r="483" spans="1:3" x14ac:dyDescent="0.25">
      <c r="A483" s="6"/>
      <c r="B483" s="6"/>
      <c r="C483" s="6"/>
    </row>
    <row r="484" spans="1:3" x14ac:dyDescent="0.25">
      <c r="A484" s="6"/>
      <c r="B484" s="6"/>
      <c r="C484" s="6"/>
    </row>
    <row r="485" spans="1:3" x14ac:dyDescent="0.25">
      <c r="A485" s="6"/>
      <c r="B485" s="6"/>
      <c r="C485" s="6"/>
    </row>
    <row r="486" spans="1:3" x14ac:dyDescent="0.25">
      <c r="A486" s="6"/>
      <c r="B486" s="6"/>
      <c r="C486" s="6"/>
    </row>
    <row r="487" spans="1:3" x14ac:dyDescent="0.25">
      <c r="A487" s="6"/>
      <c r="B487" s="6"/>
      <c r="C487" s="6"/>
    </row>
    <row r="488" spans="1:3" x14ac:dyDescent="0.25">
      <c r="A488" s="6"/>
      <c r="B488" s="6"/>
      <c r="C488" s="6"/>
    </row>
    <row r="489" spans="1:3" x14ac:dyDescent="0.25">
      <c r="A489" s="6"/>
      <c r="B489" s="6"/>
      <c r="C489" s="6"/>
    </row>
    <row r="490" spans="1:3" x14ac:dyDescent="0.25">
      <c r="A490" s="6"/>
      <c r="B490" s="6"/>
      <c r="C490" s="6"/>
    </row>
    <row r="491" spans="1:3" x14ac:dyDescent="0.25">
      <c r="A491" s="6"/>
      <c r="B491" s="6"/>
      <c r="C491" s="6"/>
    </row>
    <row r="492" spans="1:3" x14ac:dyDescent="0.25">
      <c r="A492" s="6"/>
      <c r="B492" s="6"/>
      <c r="C492" s="6"/>
    </row>
    <row r="493" spans="1:3" x14ac:dyDescent="0.25">
      <c r="A493" s="6"/>
      <c r="B493" s="6"/>
      <c r="C493" s="6"/>
    </row>
    <row r="494" spans="1:3" x14ac:dyDescent="0.25">
      <c r="A494" s="6"/>
      <c r="B494" s="6"/>
      <c r="C494" s="6"/>
    </row>
    <row r="495" spans="1:3" x14ac:dyDescent="0.25">
      <c r="A495" s="6"/>
      <c r="B495" s="6"/>
      <c r="C495" s="6"/>
    </row>
    <row r="496" spans="1:3" x14ac:dyDescent="0.25">
      <c r="A496" s="6"/>
      <c r="B496" s="6"/>
      <c r="C496" s="6"/>
    </row>
    <row r="497" spans="1:3" x14ac:dyDescent="0.25">
      <c r="A497" s="6"/>
      <c r="B497" s="6"/>
      <c r="C497" s="6"/>
    </row>
    <row r="498" spans="1:3" x14ac:dyDescent="0.25">
      <c r="A498" s="6"/>
      <c r="B498" s="6"/>
      <c r="C498" s="6"/>
    </row>
    <row r="499" spans="1:3" x14ac:dyDescent="0.25">
      <c r="A499" s="6"/>
      <c r="B499" s="6"/>
      <c r="C499" s="6"/>
    </row>
    <row r="500" spans="1:3" x14ac:dyDescent="0.25">
      <c r="A500" s="6"/>
      <c r="B500" s="6"/>
      <c r="C500" s="6"/>
    </row>
    <row r="501" spans="1:3" x14ac:dyDescent="0.25">
      <c r="A501" s="6"/>
      <c r="B501" s="6"/>
      <c r="C501" s="6"/>
    </row>
    <row r="502" spans="1:3" x14ac:dyDescent="0.25">
      <c r="A502" s="6"/>
      <c r="B502" s="6"/>
      <c r="C502" s="6"/>
    </row>
    <row r="503" spans="1:3" x14ac:dyDescent="0.25">
      <c r="A503" s="6"/>
      <c r="B503" s="6"/>
      <c r="C503" s="6"/>
    </row>
    <row r="504" spans="1:3" x14ac:dyDescent="0.25">
      <c r="A504" s="6"/>
      <c r="B504" s="6"/>
      <c r="C504" s="6"/>
    </row>
    <row r="505" spans="1:3" x14ac:dyDescent="0.25">
      <c r="A505" s="6"/>
      <c r="B505" s="6"/>
      <c r="C505" s="6"/>
    </row>
    <row r="506" spans="1:3" x14ac:dyDescent="0.25">
      <c r="A506" s="6"/>
      <c r="B506" s="6"/>
      <c r="C506" s="6"/>
    </row>
    <row r="507" spans="1:3" x14ac:dyDescent="0.25">
      <c r="A507" s="6"/>
      <c r="B507" s="6"/>
      <c r="C507" s="6"/>
    </row>
    <row r="508" spans="1:3" x14ac:dyDescent="0.25">
      <c r="A508" s="6"/>
      <c r="B508" s="6"/>
      <c r="C508" s="6"/>
    </row>
    <row r="509" spans="1:3" x14ac:dyDescent="0.25">
      <c r="A509" s="6"/>
      <c r="B509" s="6"/>
      <c r="C509" s="6"/>
    </row>
    <row r="510" spans="1:3" x14ac:dyDescent="0.25">
      <c r="A510" s="6"/>
      <c r="B510" s="6"/>
      <c r="C510" s="6"/>
    </row>
    <row r="511" spans="1:3" x14ac:dyDescent="0.25">
      <c r="A511" s="6"/>
      <c r="B511" s="6"/>
      <c r="C511" s="6"/>
    </row>
    <row r="512" spans="1:3" x14ac:dyDescent="0.25">
      <c r="A512" s="6"/>
      <c r="B512" s="6"/>
      <c r="C512" s="6"/>
    </row>
    <row r="513" spans="1:3" x14ac:dyDescent="0.25">
      <c r="A513" s="6"/>
      <c r="B513" s="6"/>
      <c r="C513" s="6"/>
    </row>
    <row r="514" spans="1:3" x14ac:dyDescent="0.25">
      <c r="A514" s="6"/>
      <c r="B514" s="6"/>
      <c r="C514" s="6"/>
    </row>
    <row r="515" spans="1:3" x14ac:dyDescent="0.25">
      <c r="A515" s="6"/>
      <c r="B515" s="6"/>
      <c r="C515" s="6"/>
    </row>
    <row r="516" spans="1:3" x14ac:dyDescent="0.25">
      <c r="A516" s="6"/>
      <c r="B516" s="6"/>
      <c r="C516" s="6"/>
    </row>
    <row r="517" spans="1:3" x14ac:dyDescent="0.25">
      <c r="A517" s="6"/>
      <c r="B517" s="6"/>
      <c r="C517" s="6"/>
    </row>
    <row r="518" spans="1:3" x14ac:dyDescent="0.25">
      <c r="A518" s="6"/>
      <c r="B518" s="6"/>
      <c r="C518" s="6"/>
    </row>
    <row r="519" spans="1:3" x14ac:dyDescent="0.25">
      <c r="A519" s="6"/>
      <c r="B519" s="6"/>
      <c r="C519" s="6"/>
    </row>
    <row r="520" spans="1:3" x14ac:dyDescent="0.25">
      <c r="A520" s="6"/>
      <c r="B520" s="6"/>
      <c r="C520" s="6"/>
    </row>
    <row r="521" spans="1:3" x14ac:dyDescent="0.25">
      <c r="A521" s="6"/>
      <c r="B521" s="6"/>
      <c r="C521" s="6"/>
    </row>
    <row r="522" spans="1:3" x14ac:dyDescent="0.25">
      <c r="A522" s="6"/>
      <c r="B522" s="6"/>
      <c r="C522" s="6"/>
    </row>
    <row r="523" spans="1:3" x14ac:dyDescent="0.25">
      <c r="A523" s="6"/>
      <c r="B523" s="6"/>
      <c r="C523" s="6"/>
    </row>
    <row r="524" spans="1:3" x14ac:dyDescent="0.25">
      <c r="A524" s="6"/>
      <c r="B524" s="6"/>
      <c r="C524" s="6"/>
    </row>
    <row r="525" spans="1:3" x14ac:dyDescent="0.25">
      <c r="A525" s="6"/>
      <c r="B525" s="6"/>
      <c r="C525" s="6"/>
    </row>
    <row r="526" spans="1:3" x14ac:dyDescent="0.25">
      <c r="A526" s="6"/>
      <c r="B526" s="6"/>
      <c r="C526" s="6"/>
    </row>
    <row r="527" spans="1:3" x14ac:dyDescent="0.25">
      <c r="A527" s="6"/>
      <c r="B527" s="6"/>
      <c r="C527" s="6"/>
    </row>
    <row r="528" spans="1:3" x14ac:dyDescent="0.25">
      <c r="A528" s="6"/>
      <c r="B528" s="6"/>
      <c r="C528" s="6"/>
    </row>
    <row r="529" spans="1:3" x14ac:dyDescent="0.25">
      <c r="A529" s="6"/>
      <c r="B529" s="6"/>
      <c r="C529" s="6"/>
    </row>
    <row r="530" spans="1:3" x14ac:dyDescent="0.25">
      <c r="A530" s="6"/>
      <c r="B530" s="6"/>
      <c r="C530" s="6"/>
    </row>
    <row r="531" spans="1:3" x14ac:dyDescent="0.25">
      <c r="A531" s="6"/>
      <c r="B531" s="6"/>
      <c r="C531" s="6"/>
    </row>
    <row r="532" spans="1:3" x14ac:dyDescent="0.25">
      <c r="A532" s="6"/>
      <c r="B532" s="6"/>
      <c r="C532" s="6"/>
    </row>
    <row r="533" spans="1:3" x14ac:dyDescent="0.25">
      <c r="A533" s="6"/>
      <c r="B533" s="6"/>
      <c r="C533" s="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generate_schedule">
                <anchor moveWithCells="1" sizeWithCells="1">
                  <from>
                    <xdr:col>9</xdr:col>
                    <xdr:colOff>1000125</xdr:colOff>
                    <xdr:row>0</xdr:row>
                    <xdr:rowOff>0</xdr:rowOff>
                  </from>
                  <to>
                    <xdr:col>11</xdr:col>
                    <xdr:colOff>552450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640653F-FDFB-4D5E-B14F-147EE7F51B55}">
          <x14:formula1>
            <xm:f>Notes!$A$2:$A$5</xm:f>
          </x14:formula1>
          <xm:sqref>F3 Q3</xm:sqref>
        </x14:dataValidation>
        <x14:dataValidation type="list" allowBlank="1" showInputMessage="1" showErrorMessage="1" xr:uid="{E55852A9-CF45-4D70-A65A-BC6A94E2B82F}">
          <x14:formula1>
            <xm:f>Notes!$C$2:$C$3</xm:f>
          </x14:formula1>
          <xm:sqref>B4 M4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0E796-14E6-43FA-AF68-A344EF2E2AAA}">
  <sheetPr codeName="Sheet3"/>
  <dimension ref="G1:T28"/>
  <sheetViews>
    <sheetView topLeftCell="B1" workbookViewId="0">
      <selection activeCell="H12" sqref="H12"/>
    </sheetView>
  </sheetViews>
  <sheetFormatPr defaultRowHeight="15" x14ac:dyDescent="0.25"/>
  <cols>
    <col min="8" max="8" width="11.5703125" bestFit="1" customWidth="1"/>
    <col min="14" max="14" width="12.5703125" customWidth="1"/>
    <col min="15" max="15" width="10.140625" customWidth="1"/>
    <col min="16" max="16" width="9.85546875" bestFit="1" customWidth="1"/>
  </cols>
  <sheetData>
    <row r="1" spans="7:20" x14ac:dyDescent="0.25">
      <c r="N1" s="1" t="s">
        <v>41</v>
      </c>
      <c r="O1" t="s">
        <v>42</v>
      </c>
    </row>
    <row r="2" spans="7:20" x14ac:dyDescent="0.25">
      <c r="N2" s="1" t="s">
        <v>43</v>
      </c>
      <c r="O2" s="8">
        <f>IRS!F1</f>
        <v>45674</v>
      </c>
    </row>
    <row r="4" spans="7:20" x14ac:dyDescent="0.25">
      <c r="M4" s="1" t="s">
        <v>44</v>
      </c>
      <c r="N4" s="9" t="s">
        <v>27</v>
      </c>
      <c r="O4" s="1" t="s">
        <v>45</v>
      </c>
      <c r="P4" s="9" t="s">
        <v>46</v>
      </c>
      <c r="Q4" s="1" t="s">
        <v>46</v>
      </c>
      <c r="R4" s="1" t="s">
        <v>47</v>
      </c>
      <c r="S4" s="9" t="s">
        <v>48</v>
      </c>
      <c r="T4" s="1" t="s">
        <v>49</v>
      </c>
    </row>
    <row r="5" spans="7:20" x14ac:dyDescent="0.25">
      <c r="M5" t="s">
        <v>50</v>
      </c>
      <c r="N5" s="6">
        <v>45677</v>
      </c>
      <c r="P5" s="8">
        <v>45685</v>
      </c>
      <c r="Q5" t="s">
        <v>51</v>
      </c>
      <c r="S5">
        <v>4.33521</v>
      </c>
    </row>
    <row r="6" spans="7:20" x14ac:dyDescent="0.25">
      <c r="M6" t="s">
        <v>50</v>
      </c>
      <c r="N6" s="6">
        <v>45677</v>
      </c>
      <c r="P6" s="8">
        <v>45708</v>
      </c>
      <c r="Q6" t="s">
        <v>52</v>
      </c>
      <c r="S6">
        <v>4.3299899999999996</v>
      </c>
    </row>
    <row r="7" spans="7:20" x14ac:dyDescent="0.25">
      <c r="M7" t="s">
        <v>50</v>
      </c>
      <c r="N7" s="6">
        <v>45677</v>
      </c>
      <c r="P7" s="8">
        <v>45736</v>
      </c>
      <c r="Q7" t="s">
        <v>53</v>
      </c>
      <c r="S7">
        <v>4.2551899999999998</v>
      </c>
    </row>
    <row r="8" spans="7:20" x14ac:dyDescent="0.25">
      <c r="G8" s="8"/>
      <c r="H8" s="15"/>
      <c r="M8" t="s">
        <v>50</v>
      </c>
      <c r="N8" s="6">
        <v>45677</v>
      </c>
      <c r="P8" s="8">
        <v>45769</v>
      </c>
      <c r="Q8" t="s">
        <v>54</v>
      </c>
      <c r="S8">
        <v>4.2033500000000004</v>
      </c>
    </row>
    <row r="9" spans="7:20" x14ac:dyDescent="0.25">
      <c r="M9" t="s">
        <v>50</v>
      </c>
      <c r="N9" s="6">
        <v>45677</v>
      </c>
      <c r="P9" s="8">
        <v>45797</v>
      </c>
      <c r="Q9" t="s">
        <v>55</v>
      </c>
      <c r="S9">
        <v>4.1727499999999997</v>
      </c>
    </row>
    <row r="10" spans="7:20" x14ac:dyDescent="0.25">
      <c r="M10" t="s">
        <v>50</v>
      </c>
      <c r="N10" s="6">
        <v>45677</v>
      </c>
      <c r="P10" s="8">
        <v>45828</v>
      </c>
      <c r="Q10" t="s">
        <v>56</v>
      </c>
      <c r="S10">
        <v>4.1223599999999996</v>
      </c>
    </row>
    <row r="11" spans="7:20" x14ac:dyDescent="0.25">
      <c r="M11" t="s">
        <v>50</v>
      </c>
      <c r="N11" s="6">
        <v>45677</v>
      </c>
      <c r="P11" s="8">
        <v>45859</v>
      </c>
      <c r="Q11" t="s">
        <v>57</v>
      </c>
      <c r="S11">
        <v>4.0847499999999997</v>
      </c>
    </row>
    <row r="12" spans="7:20" x14ac:dyDescent="0.25">
      <c r="M12" t="s">
        <v>50</v>
      </c>
      <c r="N12" s="6">
        <v>45677</v>
      </c>
      <c r="P12" s="8">
        <v>45950</v>
      </c>
      <c r="Q12" t="s">
        <v>58</v>
      </c>
      <c r="S12">
        <v>3.9887700000000001</v>
      </c>
    </row>
    <row r="13" spans="7:20" x14ac:dyDescent="0.25">
      <c r="M13" t="s">
        <v>50</v>
      </c>
      <c r="N13" s="6">
        <v>45677</v>
      </c>
      <c r="P13" s="8">
        <v>46042</v>
      </c>
      <c r="Q13" t="s">
        <v>59</v>
      </c>
      <c r="S13">
        <v>3.9183300000000001</v>
      </c>
    </row>
    <row r="14" spans="7:20" x14ac:dyDescent="0.25">
      <c r="M14" t="s">
        <v>50</v>
      </c>
      <c r="N14" s="6">
        <v>45677</v>
      </c>
      <c r="P14" s="8">
        <v>46223</v>
      </c>
      <c r="Q14" t="s">
        <v>60</v>
      </c>
      <c r="S14">
        <v>3.8266300000000002</v>
      </c>
    </row>
    <row r="15" spans="7:20" x14ac:dyDescent="0.25">
      <c r="M15" t="s">
        <v>50</v>
      </c>
      <c r="N15" s="6">
        <v>45677</v>
      </c>
      <c r="P15" s="8">
        <v>46407</v>
      </c>
      <c r="Q15" t="s">
        <v>61</v>
      </c>
      <c r="S15">
        <v>3.79908</v>
      </c>
    </row>
    <row r="16" spans="7:20" x14ac:dyDescent="0.25">
      <c r="M16" t="s">
        <v>50</v>
      </c>
      <c r="N16" s="6">
        <v>45677</v>
      </c>
      <c r="P16" s="8">
        <v>46772</v>
      </c>
      <c r="Q16" t="s">
        <v>62</v>
      </c>
      <c r="S16">
        <v>3.8008600000000001</v>
      </c>
    </row>
    <row r="17" spans="13:19" x14ac:dyDescent="0.25">
      <c r="M17" t="s">
        <v>50</v>
      </c>
      <c r="N17" s="6">
        <v>45677</v>
      </c>
      <c r="P17" s="8">
        <v>47140</v>
      </c>
      <c r="Q17" t="s">
        <v>63</v>
      </c>
      <c r="S17">
        <v>3.8323100000000001</v>
      </c>
    </row>
    <row r="18" spans="13:19" x14ac:dyDescent="0.25">
      <c r="M18" t="s">
        <v>50</v>
      </c>
      <c r="N18" s="6">
        <v>45677</v>
      </c>
      <c r="P18" s="8">
        <v>47504</v>
      </c>
      <c r="Q18" t="s">
        <v>64</v>
      </c>
      <c r="S18">
        <v>3.8911099999999998</v>
      </c>
    </row>
    <row r="19" spans="13:19" x14ac:dyDescent="0.25">
      <c r="M19" t="s">
        <v>50</v>
      </c>
      <c r="N19" s="6">
        <v>45677</v>
      </c>
      <c r="P19" s="8">
        <v>47868</v>
      </c>
      <c r="Q19" t="s">
        <v>65</v>
      </c>
      <c r="S19">
        <v>3.9671400000000001</v>
      </c>
    </row>
    <row r="20" spans="13:19" x14ac:dyDescent="0.25">
      <c r="M20" t="s">
        <v>50</v>
      </c>
      <c r="N20" s="6">
        <v>45677</v>
      </c>
      <c r="P20" s="8">
        <v>48233</v>
      </c>
      <c r="Q20" t="s">
        <v>66</v>
      </c>
      <c r="S20">
        <v>4.0517799999999999</v>
      </c>
    </row>
    <row r="21" spans="13:19" x14ac:dyDescent="0.25">
      <c r="M21" t="s">
        <v>50</v>
      </c>
      <c r="N21" s="6">
        <v>45677</v>
      </c>
      <c r="P21" s="8">
        <v>48599</v>
      </c>
      <c r="Q21" t="s">
        <v>67</v>
      </c>
      <c r="S21">
        <v>4.1228400000000001</v>
      </c>
    </row>
    <row r="22" spans="13:19" x14ac:dyDescent="0.25">
      <c r="M22" t="s">
        <v>50</v>
      </c>
      <c r="N22" s="6">
        <v>45677</v>
      </c>
      <c r="P22" s="8">
        <v>48964</v>
      </c>
      <c r="Q22" t="s">
        <v>68</v>
      </c>
      <c r="S22">
        <v>4.1915500000000003</v>
      </c>
    </row>
    <row r="23" spans="13:19" x14ac:dyDescent="0.25">
      <c r="M23" t="s">
        <v>50</v>
      </c>
      <c r="N23" s="6">
        <v>45677</v>
      </c>
      <c r="P23" s="8">
        <v>49331</v>
      </c>
      <c r="Q23" t="s">
        <v>69</v>
      </c>
      <c r="S23">
        <v>4.2506700000000004</v>
      </c>
    </row>
    <row r="24" spans="13:19" x14ac:dyDescent="0.25">
      <c r="M24" t="s">
        <v>50</v>
      </c>
      <c r="N24" s="6">
        <v>45677</v>
      </c>
      <c r="P24" s="8">
        <v>50060</v>
      </c>
      <c r="Q24" t="s">
        <v>70</v>
      </c>
      <c r="S24">
        <v>4.3455300000000001</v>
      </c>
    </row>
    <row r="25" spans="13:19" x14ac:dyDescent="0.25">
      <c r="M25" t="s">
        <v>50</v>
      </c>
      <c r="N25" s="6">
        <v>45677</v>
      </c>
      <c r="P25" s="8">
        <v>51155</v>
      </c>
      <c r="Q25" t="s">
        <v>71</v>
      </c>
      <c r="S25">
        <v>4.4252200000000004</v>
      </c>
    </row>
    <row r="26" spans="13:19" x14ac:dyDescent="0.25">
      <c r="M26" t="s">
        <v>50</v>
      </c>
      <c r="N26" s="6">
        <v>45677</v>
      </c>
      <c r="P26" s="8">
        <v>52982</v>
      </c>
      <c r="Q26" t="s">
        <v>72</v>
      </c>
      <c r="S26">
        <v>4.4266100000000002</v>
      </c>
    </row>
    <row r="27" spans="13:19" x14ac:dyDescent="0.25">
      <c r="M27" t="s">
        <v>50</v>
      </c>
      <c r="N27" s="6">
        <v>45677</v>
      </c>
      <c r="P27" s="8">
        <v>54808</v>
      </c>
      <c r="Q27" t="s">
        <v>73</v>
      </c>
      <c r="S27">
        <v>4.2932300000000003</v>
      </c>
    </row>
    <row r="28" spans="13:19" x14ac:dyDescent="0.25">
      <c r="M28" t="s">
        <v>50</v>
      </c>
      <c r="N28" s="6">
        <v>45677</v>
      </c>
      <c r="P28" s="8">
        <v>56634</v>
      </c>
      <c r="Q28" t="s">
        <v>74</v>
      </c>
      <c r="S28">
        <v>4.1246200000000002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BDFFE-58A7-4FF3-B306-2DDE35AEF6E0}">
  <sheetPr codeName="Sheet4"/>
  <dimension ref="M1:T28"/>
  <sheetViews>
    <sheetView topLeftCell="F1" workbookViewId="0">
      <selection activeCell="S23" sqref="S23"/>
    </sheetView>
  </sheetViews>
  <sheetFormatPr defaultRowHeight="15" x14ac:dyDescent="0.25"/>
  <cols>
    <col min="14" max="14" width="12.5703125" customWidth="1"/>
    <col min="15" max="15" width="10.140625" customWidth="1"/>
    <col min="16" max="16" width="9.85546875" bestFit="1" customWidth="1"/>
  </cols>
  <sheetData>
    <row r="1" spans="13:20" x14ac:dyDescent="0.25">
      <c r="N1" s="1" t="s">
        <v>41</v>
      </c>
      <c r="O1" t="s">
        <v>81</v>
      </c>
    </row>
    <row r="2" spans="13:20" x14ac:dyDescent="0.25">
      <c r="N2" s="1" t="s">
        <v>43</v>
      </c>
      <c r="O2" s="8">
        <f>IRS!F1</f>
        <v>45674</v>
      </c>
    </row>
    <row r="4" spans="13:20" x14ac:dyDescent="0.25">
      <c r="M4" s="1" t="s">
        <v>44</v>
      </c>
      <c r="N4" s="9" t="s">
        <v>27</v>
      </c>
      <c r="O4" s="1" t="s">
        <v>45</v>
      </c>
      <c r="P4" s="9" t="s">
        <v>46</v>
      </c>
      <c r="Q4" s="1" t="s">
        <v>46</v>
      </c>
      <c r="R4" s="1" t="s">
        <v>47</v>
      </c>
      <c r="S4" s="9" t="s">
        <v>48</v>
      </c>
      <c r="T4" s="1" t="s">
        <v>49</v>
      </c>
    </row>
    <row r="5" spans="13:20" x14ac:dyDescent="0.25">
      <c r="M5" t="s">
        <v>50</v>
      </c>
      <c r="N5" s="6">
        <v>45677</v>
      </c>
      <c r="P5" s="8">
        <v>45859</v>
      </c>
      <c r="Q5" t="s">
        <v>57</v>
      </c>
      <c r="S5" s="10">
        <v>4.3919100000000002</v>
      </c>
    </row>
    <row r="6" spans="13:20" x14ac:dyDescent="0.25">
      <c r="M6" t="s">
        <v>50</v>
      </c>
      <c r="N6" s="6">
        <v>45677</v>
      </c>
      <c r="P6" s="8">
        <v>46042</v>
      </c>
      <c r="Q6" t="s">
        <v>59</v>
      </c>
      <c r="S6" s="10">
        <v>4.2271000000000001</v>
      </c>
    </row>
    <row r="7" spans="13:20" x14ac:dyDescent="0.25">
      <c r="M7" t="s">
        <v>50</v>
      </c>
      <c r="N7" s="6">
        <v>45677</v>
      </c>
      <c r="P7" s="8">
        <v>46223</v>
      </c>
      <c r="Q7" t="s">
        <v>60</v>
      </c>
      <c r="S7" s="10">
        <v>4.1390000000000002</v>
      </c>
    </row>
    <row r="8" spans="13:20" x14ac:dyDescent="0.25">
      <c r="M8" t="s">
        <v>50</v>
      </c>
      <c r="N8" s="6">
        <v>45677</v>
      </c>
      <c r="P8" s="8">
        <v>46407</v>
      </c>
      <c r="Q8" t="s">
        <v>61</v>
      </c>
      <c r="S8" s="10">
        <v>4.1147499999999999</v>
      </c>
    </row>
    <row r="9" spans="13:20" x14ac:dyDescent="0.25">
      <c r="M9" t="s">
        <v>50</v>
      </c>
      <c r="N9" s="6">
        <v>45677</v>
      </c>
      <c r="P9" s="8">
        <v>46772</v>
      </c>
      <c r="Q9" t="s">
        <v>62</v>
      </c>
      <c r="S9" s="10">
        <v>4.1089799999999999</v>
      </c>
    </row>
    <row r="10" spans="13:20" x14ac:dyDescent="0.25">
      <c r="M10" t="s">
        <v>50</v>
      </c>
      <c r="N10" s="6">
        <v>45677</v>
      </c>
      <c r="P10" s="8">
        <v>47140</v>
      </c>
      <c r="Q10" t="s">
        <v>63</v>
      </c>
      <c r="S10" s="10">
        <v>4.1340899999999996</v>
      </c>
    </row>
    <row r="11" spans="13:20" x14ac:dyDescent="0.25">
      <c r="M11" t="s">
        <v>50</v>
      </c>
      <c r="N11" s="6">
        <v>45677</v>
      </c>
      <c r="P11" s="8">
        <v>47504</v>
      </c>
      <c r="Q11" t="s">
        <v>64</v>
      </c>
      <c r="S11" s="10">
        <v>4.1841299999999997</v>
      </c>
    </row>
    <row r="12" spans="13:20" x14ac:dyDescent="0.25">
      <c r="M12" t="s">
        <v>50</v>
      </c>
      <c r="N12" s="6">
        <v>45677</v>
      </c>
      <c r="P12" s="8">
        <v>47868</v>
      </c>
      <c r="Q12" t="s">
        <v>65</v>
      </c>
      <c r="S12" s="10">
        <v>4.25291</v>
      </c>
    </row>
    <row r="13" spans="13:20" x14ac:dyDescent="0.25">
      <c r="M13" t="s">
        <v>50</v>
      </c>
      <c r="N13" s="6">
        <v>45677</v>
      </c>
      <c r="P13" s="8">
        <v>48233</v>
      </c>
      <c r="Q13" t="s">
        <v>66</v>
      </c>
      <c r="S13" s="10">
        <v>4.32545</v>
      </c>
    </row>
    <row r="14" spans="13:20" x14ac:dyDescent="0.25">
      <c r="M14" t="s">
        <v>50</v>
      </c>
      <c r="N14" s="6">
        <v>45677</v>
      </c>
      <c r="P14" s="8">
        <v>48599</v>
      </c>
      <c r="Q14" t="s">
        <v>67</v>
      </c>
      <c r="S14" s="10">
        <v>4.3949100000000003</v>
      </c>
    </row>
    <row r="15" spans="13:20" x14ac:dyDescent="0.25">
      <c r="M15" t="s">
        <v>50</v>
      </c>
      <c r="N15" s="6">
        <v>45677</v>
      </c>
      <c r="P15" s="8">
        <v>48964</v>
      </c>
      <c r="Q15" t="s">
        <v>68</v>
      </c>
      <c r="S15" s="10">
        <v>4.4584099999999998</v>
      </c>
    </row>
    <row r="16" spans="13:20" x14ac:dyDescent="0.25">
      <c r="M16" t="s">
        <v>50</v>
      </c>
      <c r="N16" s="6">
        <v>45677</v>
      </c>
      <c r="P16" s="8">
        <v>49331</v>
      </c>
      <c r="Q16" t="s">
        <v>69</v>
      </c>
      <c r="S16" s="10">
        <v>4.5118600000000004</v>
      </c>
    </row>
    <row r="17" spans="13:19" x14ac:dyDescent="0.25">
      <c r="M17" t="s">
        <v>50</v>
      </c>
      <c r="N17" s="6">
        <v>45677</v>
      </c>
      <c r="P17" s="8">
        <v>50060</v>
      </c>
      <c r="Q17" t="s">
        <v>70</v>
      </c>
      <c r="S17" s="10">
        <v>4.6027199999999997</v>
      </c>
    </row>
    <row r="18" spans="13:19" x14ac:dyDescent="0.25">
      <c r="M18" t="s">
        <v>50</v>
      </c>
      <c r="N18" s="6">
        <v>45677</v>
      </c>
      <c r="P18" s="8">
        <v>51155</v>
      </c>
      <c r="Q18" t="s">
        <v>71</v>
      </c>
      <c r="S18" s="10">
        <v>4.6915500000000003</v>
      </c>
    </row>
    <row r="19" spans="13:19" x14ac:dyDescent="0.25">
      <c r="M19" t="s">
        <v>50</v>
      </c>
      <c r="N19" s="6">
        <v>45677</v>
      </c>
      <c r="P19" s="8">
        <v>52982</v>
      </c>
      <c r="Q19" t="s">
        <v>72</v>
      </c>
      <c r="S19" s="10">
        <v>4.7202000000000002</v>
      </c>
    </row>
    <row r="20" spans="13:19" x14ac:dyDescent="0.25">
      <c r="M20" t="s">
        <v>50</v>
      </c>
      <c r="N20" s="6">
        <v>45677</v>
      </c>
      <c r="P20" s="8">
        <v>54808</v>
      </c>
      <c r="Q20" t="s">
        <v>73</v>
      </c>
      <c r="S20" s="10">
        <v>4.6219799999999998</v>
      </c>
    </row>
    <row r="21" spans="13:19" x14ac:dyDescent="0.25">
      <c r="M21" t="s">
        <v>50</v>
      </c>
      <c r="N21" s="6">
        <v>45677</v>
      </c>
      <c r="P21" s="8">
        <v>56634</v>
      </c>
      <c r="Q21" t="s">
        <v>74</v>
      </c>
      <c r="S21" s="10">
        <v>4.4912299999999998</v>
      </c>
    </row>
    <row r="22" spans="13:19" x14ac:dyDescent="0.25">
      <c r="M22" t="s">
        <v>50</v>
      </c>
      <c r="N22" s="6">
        <v>45677</v>
      </c>
      <c r="P22" s="8">
        <v>60287</v>
      </c>
      <c r="Q22" t="s">
        <v>82</v>
      </c>
      <c r="S22" s="10">
        <v>4.11646</v>
      </c>
    </row>
    <row r="23" spans="13:19" x14ac:dyDescent="0.25">
      <c r="N23" s="6"/>
      <c r="P23" s="8"/>
    </row>
    <row r="24" spans="13:19" x14ac:dyDescent="0.25">
      <c r="N24" s="6"/>
      <c r="P24" s="8"/>
    </row>
    <row r="25" spans="13:19" x14ac:dyDescent="0.25">
      <c r="N25" s="6"/>
      <c r="P25" s="8"/>
    </row>
    <row r="26" spans="13:19" x14ac:dyDescent="0.25">
      <c r="N26" s="6"/>
      <c r="P26" s="8"/>
    </row>
    <row r="27" spans="13:19" x14ac:dyDescent="0.25">
      <c r="N27" s="6"/>
      <c r="P27" s="8"/>
    </row>
    <row r="28" spans="13:19" x14ac:dyDescent="0.25">
      <c r="N28" s="6"/>
      <c r="P28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202FB-F2DF-475A-8977-1796794F7A8D}">
  <sheetPr codeName="Sheet2"/>
  <dimension ref="A1:C5"/>
  <sheetViews>
    <sheetView workbookViewId="0">
      <selection activeCell="D6" sqref="D6"/>
    </sheetView>
  </sheetViews>
  <sheetFormatPr defaultRowHeight="15" x14ac:dyDescent="0.25"/>
  <cols>
    <col min="1" max="1" width="19" bestFit="1" customWidth="1"/>
  </cols>
  <sheetData>
    <row r="1" spans="1:3" x14ac:dyDescent="0.25">
      <c r="A1" s="1" t="s">
        <v>4</v>
      </c>
      <c r="C1" s="1" t="s">
        <v>12</v>
      </c>
    </row>
    <row r="2" spans="1:3" x14ac:dyDescent="0.25">
      <c r="A2" t="s">
        <v>8</v>
      </c>
      <c r="C2" t="s">
        <v>13</v>
      </c>
    </row>
    <row r="3" spans="1:3" x14ac:dyDescent="0.25">
      <c r="A3" t="s">
        <v>9</v>
      </c>
      <c r="C3" t="s">
        <v>14</v>
      </c>
    </row>
    <row r="4" spans="1:3" x14ac:dyDescent="0.25">
      <c r="A4" t="s">
        <v>10</v>
      </c>
    </row>
    <row r="5" spans="1:3" x14ac:dyDescent="0.25">
      <c r="A5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IRS</vt:lpstr>
      <vt:lpstr>DF</vt:lpstr>
      <vt:lpstr>DF_2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#ALEXANDER LIM HAN YANG#</cp:lastModifiedBy>
  <dcterms:created xsi:type="dcterms:W3CDTF">2025-06-18T11:08:27Z</dcterms:created>
  <dcterms:modified xsi:type="dcterms:W3CDTF">2025-07-14T14:41:21Z</dcterms:modified>
</cp:coreProperties>
</file>